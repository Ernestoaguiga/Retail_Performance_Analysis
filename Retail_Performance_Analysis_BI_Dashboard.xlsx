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_Analyst_Portfolio\Claude\Data_Analyst_Bootcamp_16_Weeks\Week_01_Excel\"/>
    </mc:Choice>
  </mc:AlternateContent>
  <xr:revisionPtr revIDLastSave="0" documentId="13_ncr:1_{15F53845-2A95-4020-9FB8-B66E07A6C6E0}" xr6:coauthVersionLast="47" xr6:coauthVersionMax="47" xr10:uidLastSave="{00000000-0000-0000-0000-000000000000}"/>
  <bookViews>
    <workbookView xWindow="-120" yWindow="-120" windowWidth="29040" windowHeight="15720" firstSheet="1" activeTab="5" xr2:uid="{A5C4B4AE-9F9F-4570-B94F-1681A9E292A6}"/>
  </bookViews>
  <sheets>
    <sheet name="retail_sales_messy_dataset" sheetId="2" r:id="rId1"/>
    <sheet name="Raw_Data" sheetId="1" r:id="rId2"/>
    <sheet name="PT_Sales_by_Category" sheetId="6" r:id="rId3"/>
    <sheet name="PT_Sales_by_Region_Category" sheetId="7" r:id="rId4"/>
    <sheet name="PT_Profitability_Analysis" sheetId="8" r:id="rId5"/>
    <sheet name="Action_Plan" sheetId="9" r:id="rId6"/>
    <sheet name="Dashboards" sheetId="10" r:id="rId7"/>
    <sheet name="Practice_formulas" sheetId="3" state="hidden" r:id="rId8"/>
  </sheets>
  <externalReferences>
    <externalReference r:id="rId9"/>
  </externalReferences>
  <definedNames>
    <definedName name="Slicer_Segment">#N/A</definedName>
    <definedName name="Slicer_Ship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3" l="1"/>
  <c r="F4" i="3"/>
  <c r="F5" i="3"/>
  <c r="F2" i="3"/>
  <c r="G3" i="3"/>
  <c r="G4" i="3"/>
  <c r="G5" i="3"/>
  <c r="G2" i="3"/>
  <c r="E3" i="3"/>
  <c r="E4" i="3"/>
  <c r="E5" i="3"/>
  <c r="E2" i="3"/>
  <c r="D3" i="3"/>
  <c r="D4" i="3"/>
  <c r="D5" i="3"/>
  <c r="D2" i="3"/>
  <c r="C3" i="3"/>
  <c r="C4" i="3"/>
  <c r="C5" i="3"/>
  <c r="C2" i="3"/>
  <c r="B3" i="3"/>
  <c r="B4" i="3"/>
  <c r="B5"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8E2673-9350-4170-BD13-6DE1CD545595}" keepAlive="1" name="Query - retail_sales_messy_dataset" description="Connection to the 'retail_sales_messy_dataset' query in the workbook." type="5" refreshedVersion="0" background="1">
    <dbPr connection="Provider=Microsoft.Mashup.OleDb.1;Data Source=$Workbook$;Location=retail_sales_messy_dataset;Extended Properties=&quot;&quot;" command="SELECT * FROM [retail_sales_messy_dataset]"/>
  </connection>
</connections>
</file>

<file path=xl/sharedStrings.xml><?xml version="1.0" encoding="utf-8"?>
<sst xmlns="http://schemas.openxmlformats.org/spreadsheetml/2006/main" count="1695" uniqueCount="472">
  <si>
    <t>Order_ID</t>
  </si>
  <si>
    <t>Order Date</t>
  </si>
  <si>
    <t>Ship Date</t>
  </si>
  <si>
    <t>Ship_Mode</t>
  </si>
  <si>
    <t>customer_id</t>
  </si>
  <si>
    <t>Customer Name</t>
  </si>
  <si>
    <t>Segment</t>
  </si>
  <si>
    <t>Country</t>
  </si>
  <si>
    <t>City</t>
  </si>
  <si>
    <t>State</t>
  </si>
  <si>
    <t>Postal Code</t>
  </si>
  <si>
    <t>Region</t>
  </si>
  <si>
    <t>Product_ID</t>
  </si>
  <si>
    <t>Category</t>
  </si>
  <si>
    <t>Sub-Category</t>
  </si>
  <si>
    <t>Product Name</t>
  </si>
  <si>
    <t>Sales</t>
  </si>
  <si>
    <t>Quantity</t>
  </si>
  <si>
    <t>Discount</t>
  </si>
  <si>
    <t>Profit</t>
  </si>
  <si>
    <t>CA-2023-152156</t>
  </si>
  <si>
    <t>11/08/2023</t>
  </si>
  <si>
    <t>11/11/2023</t>
  </si>
  <si>
    <t>Second Class</t>
  </si>
  <si>
    <t>CG-12520</t>
  </si>
  <si>
    <t>Claire Gute</t>
  </si>
  <si>
    <t>Consumer</t>
  </si>
  <si>
    <t>United States</t>
  </si>
  <si>
    <t>Henderson</t>
  </si>
  <si>
    <t>Kentucky</t>
  </si>
  <si>
    <t>South</t>
  </si>
  <si>
    <t>FUR-BO-10001798</t>
  </si>
  <si>
    <t>Furniture</t>
  </si>
  <si>
    <t>Bookcases</t>
  </si>
  <si>
    <t>Bush Somerset Collection Bookcase</t>
  </si>
  <si>
    <t>261.96</t>
  </si>
  <si>
    <t>0</t>
  </si>
  <si>
    <t>41.9136</t>
  </si>
  <si>
    <t>FUR-CH-10000454</t>
  </si>
  <si>
    <t>Chairs</t>
  </si>
  <si>
    <t>Hon Deluxe Fabric Upholstered Stacking Chairs</t>
  </si>
  <si>
    <t>219.582</t>
  </si>
  <si>
    <t>CA-2023-138688</t>
  </si>
  <si>
    <t>06/12/2023</t>
  </si>
  <si>
    <t/>
  </si>
  <si>
    <t>Standard Class</t>
  </si>
  <si>
    <t>DV-13045</t>
  </si>
  <si>
    <t>Darrin Van Huff</t>
  </si>
  <si>
    <t>Corporate</t>
  </si>
  <si>
    <t>Los Angeles</t>
  </si>
  <si>
    <t>California</t>
  </si>
  <si>
    <t>West</t>
  </si>
  <si>
    <t>OFF-LA-10000240</t>
  </si>
  <si>
    <t>Office Supplies</t>
  </si>
  <si>
    <t>Labels</t>
  </si>
  <si>
    <t>Self-Adhesive Address Labels</t>
  </si>
  <si>
    <t>14.62</t>
  </si>
  <si>
    <t>6.8714</t>
  </si>
  <si>
    <t>US-2023-108966</t>
  </si>
  <si>
    <t>10/11/2023</t>
  </si>
  <si>
    <t>10/18/2023</t>
  </si>
  <si>
    <t>SO-20335</t>
  </si>
  <si>
    <t>Sean O'Donnell</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</si>
  <si>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</si>
  <si>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</si>
  <si>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</si>
  <si>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</si>
  <si>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</si>
  <si>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</si>
  <si>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</si>
  <si>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</si>
  <si>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</si>
  <si>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</si>
  <si>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</si>
  <si>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</si>
  <si>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</si>
  <si>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</si>
  <si>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CA-2024-115812</t>
  </si>
  <si>
    <t>06/09/2024</t>
  </si>
  <si>
    <t>06/14/2024</t>
  </si>
  <si>
    <t>BH-11710</t>
  </si>
  <si>
    <t>Brosina Hoffman</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</si>
  <si>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</si>
  <si>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</si>
  <si>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</si>
  <si>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</si>
  <si>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</si>
  <si>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</si>
  <si>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</si>
  <si>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</si>
  <si>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</si>
  <si>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</si>
  <si>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</si>
  <si>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</si>
  <si>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</si>
  <si>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</si>
  <si>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</si>
  <si>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</si>
  <si>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CA-2023-114412</t>
  </si>
  <si>
    <t>04/15/2023</t>
  </si>
  <si>
    <t>04/20/2023</t>
  </si>
  <si>
    <t>AA-10480</t>
  </si>
  <si>
    <t>Andrew Allen</t>
  </si>
  <si>
    <t>Concord</t>
  </si>
  <si>
    <t>North Carolina</t>
  </si>
  <si>
    <t>OFF-PA-10002365</t>
  </si>
  <si>
    <t>Paper</t>
  </si>
  <si>
    <t>Xerox 1967</t>
  </si>
  <si>
    <t>15.552</t>
  </si>
  <si>
    <t>5.4432</t>
  </si>
  <si>
    <t>OFF-BI-10003910</t>
  </si>
  <si>
    <t>Binders</t>
  </si>
  <si>
    <t>Wilson Jones Custom Binder Spines &amp; Labels</t>
  </si>
  <si>
    <t>407.976</t>
  </si>
  <si>
    <t>132.5922</t>
  </si>
  <si>
    <t>CA-2023-119823</t>
  </si>
  <si>
    <t>12/08/2023</t>
  </si>
  <si>
    <t>12/12/2023</t>
  </si>
  <si>
    <t>IM-15070</t>
  </si>
  <si>
    <t>Irene Maddox</t>
  </si>
  <si>
    <t>Seattle</t>
  </si>
  <si>
    <t>Washington</t>
  </si>
  <si>
    <t>OFF-AP-10002311</t>
  </si>
  <si>
    <t>Appliances</t>
  </si>
  <si>
    <t>Belkin 325VA UPS Surge Protector 6 outlets 4 phone lines</t>
  </si>
  <si>
    <t>68.81</t>
  </si>
  <si>
    <t>15.3623</t>
  </si>
  <si>
    <t>FUR-FU-10000260</t>
  </si>
  <si>
    <t>Ultra Door Holder Bright Silver, Finish</t>
  </si>
  <si>
    <t>33.848</t>
  </si>
  <si>
    <t>7.645</t>
  </si>
  <si>
    <t>FUR-TA-10001539</t>
  </si>
  <si>
    <t>Chromcraft Bull-Nose Wood Oval Conference Tables &amp; Bases</t>
  </si>
  <si>
    <t>1044</t>
  </si>
  <si>
    <t>0.3</t>
  </si>
  <si>
    <t>-277.14</t>
  </si>
  <si>
    <t>US-2023-150630</t>
  </si>
  <si>
    <t>09/14/2023</t>
  </si>
  <si>
    <t>09/16/2023</t>
  </si>
  <si>
    <t>First Class</t>
  </si>
  <si>
    <t>KM-16375</t>
  </si>
  <si>
    <t>Ken Marosh</t>
  </si>
  <si>
    <t>Detroit</t>
  </si>
  <si>
    <t>Michigan</t>
  </si>
  <si>
    <t>TEC-AC-10003832</t>
  </si>
  <si>
    <t>Accessories</t>
  </si>
  <si>
    <t>Imation Secure+ Hardware Encrypted USB 2.0 Flash Drive 8GB</t>
  </si>
  <si>
    <t>116.544</t>
  </si>
  <si>
    <t>16.3162</t>
  </si>
  <si>
    <t>OFF-BI-10002309</t>
  </si>
  <si>
    <t>Avery Durable Binders</t>
  </si>
  <si>
    <t>13.48</t>
  </si>
  <si>
    <t>4.1026</t>
  </si>
  <si>
    <t>CA-2024-161389</t>
  </si>
  <si>
    <t>12/05/2024</t>
  </si>
  <si>
    <t>12/10/2024</t>
  </si>
  <si>
    <t>##ERROR##</t>
  </si>
  <si>
    <t>Sandra Flanagan</t>
  </si>
  <si>
    <t>Philadelphia</t>
  </si>
  <si>
    <t>Pennsylvania</t>
  </si>
  <si>
    <t>East</t>
  </si>
  <si>
    <t>FUR-CH-10002774</t>
  </si>
  <si>
    <t>Global Value Mid-Back Manager's Chair Gray</t>
  </si>
  <si>
    <t>213.115</t>
  </si>
  <si>
    <t>-95.904</t>
  </si>
  <si>
    <t>SF-20065</t>
  </si>
  <si>
    <t>OFF-FA-10000304</t>
  </si>
  <si>
    <t>Fasteners</t>
  </si>
  <si>
    <t>Advantus Map Pennant Flags</t>
  </si>
  <si>
    <t>16.5</t>
  </si>
  <si>
    <t>5.94</t>
  </si>
  <si>
    <t>CA-2024-143336</t>
  </si>
  <si>
    <t>08/27/2024</t>
  </si>
  <si>
    <t>09/01/2024</t>
  </si>
  <si>
    <t>PO-19195</t>
  </si>
  <si>
    <t>Pete O'Hara</t>
  </si>
  <si>
    <t>Fort Worth</t>
  </si>
  <si>
    <t>Texas</t>
  </si>
  <si>
    <t>Central</t>
  </si>
  <si>
    <t>OFF-ST-10004186</t>
  </si>
  <si>
    <t>Sauder Camden County Barrister Bookcase Planked Cherry Finish</t>
  </si>
  <si>
    <t>440.985</t>
  </si>
  <si>
    <t>0.35</t>
  </si>
  <si>
    <t>-130.07475</t>
  </si>
  <si>
    <t>US-2023-156909</t>
  </si>
  <si>
    <t>07/16/2023</t>
  </si>
  <si>
    <t>07/18/2023</t>
  </si>
  <si>
    <t>AG-10270</t>
  </si>
  <si>
    <t>Alejandro Grove</t>
  </si>
  <si>
    <t>West Jordan</t>
  </si>
  <si>
    <t>Utah</t>
  </si>
  <si>
    <t>TEC-PH-10004093</t>
  </si>
  <si>
    <t>Cisco SPA 501G IP Phone</t>
  </si>
  <si>
    <t>3083.43</t>
  </si>
  <si>
    <t>0.4</t>
  </si>
  <si>
    <t>-3696.0966</t>
  </si>
  <si>
    <t>CA-2024-106320</t>
  </si>
  <si>
    <t>09/25/2024</t>
  </si>
  <si>
    <t>09/30/2024</t>
  </si>
  <si>
    <t>ZD-21925</t>
  </si>
  <si>
    <t>Zuschuss Donatelli</t>
  </si>
  <si>
    <t>San Francisco</t>
  </si>
  <si>
    <t>OFF-PA-10003177</t>
  </si>
  <si>
    <t>Xerox 1952</t>
  </si>
  <si>
    <t>NULL</t>
  </si>
  <si>
    <t>0.8</t>
  </si>
  <si>
    <t>TEC-PH-10003645</t>
  </si>
  <si>
    <t>AT&amp;T CL2909</t>
  </si>
  <si>
    <t>36.624</t>
  </si>
  <si>
    <t>7.3248</t>
  </si>
  <si>
    <t>US-2024-164175</t>
  </si>
  <si>
    <t>04/30/2024</t>
  </si>
  <si>
    <t>05/05/2024</t>
  </si>
  <si>
    <t>KB-16585</t>
  </si>
  <si>
    <t>Karl Braun</t>
  </si>
  <si>
    <t>Minneapolis</t>
  </si>
  <si>
    <t>Minnesota</t>
  </si>
  <si>
    <t>FUR-TA-10003034</t>
  </si>
  <si>
    <t>Bretford Rectangular Conference Table Tops</t>
  </si>
  <si>
    <t>1096.532</t>
  </si>
  <si>
    <t>-236.2669</t>
  </si>
  <si>
    <t>US-2024-118983</t>
  </si>
  <si>
    <t>11/22/2024</t>
  </si>
  <si>
    <t>11/26/2024</t>
  </si>
  <si>
    <t>CC-12370</t>
  </si>
  <si>
    <t>Clay Cheatham</t>
  </si>
  <si>
    <t>OFF-AP-10001492</t>
  </si>
  <si>
    <t>Acco 7-Outlet Masterpiece Power Center Wiht Phone Line Protection</t>
  </si>
  <si>
    <t>103.92</t>
  </si>
  <si>
    <t>22.4136</t>
  </si>
  <si>
    <t>CA-2023-105893</t>
  </si>
  <si>
    <t>11/18/2023</t>
  </si>
  <si>
    <t>RH-19495</t>
  </si>
  <si>
    <t>Rick Hansen</t>
  </si>
  <si>
    <t>New York City</t>
  </si>
  <si>
    <t>New York</t>
  </si>
  <si>
    <t>TEC-AC-10001998</t>
  </si>
  <si>
    <t>Imation USB 2.0 Mini Travel Drive USB Flash Drive</t>
  </si>
  <si>
    <t>21.78</t>
  </si>
  <si>
    <t>7.8246</t>
  </si>
  <si>
    <t>CA-2023-167199</t>
  </si>
  <si>
    <t>12/04/2023</t>
  </si>
  <si>
    <t>12/09/2023</t>
  </si>
  <si>
    <t>SM-20320</t>
  </si>
  <si>
    <t>Sue McLaren</t>
  </si>
  <si>
    <t>San Antonio</t>
  </si>
  <si>
    <t>OFF-BI-10000474</t>
  </si>
  <si>
    <t>Cardinal Slant-D Ring Binder Heavy Gauge Vinyl</t>
  </si>
  <si>
    <t>52.776</t>
  </si>
  <si>
    <t>19.4994</t>
  </si>
  <si>
    <t>CA-2023-143259</t>
  </si>
  <si>
    <t>08/09/2023</t>
  </si>
  <si>
    <t>08/13/2023</t>
  </si>
  <si>
    <t>GM-14650</t>
  </si>
  <si>
    <t>Grant Murray</t>
  </si>
  <si>
    <t>Home Office</t>
  </si>
  <si>
    <t>Chicago</t>
  </si>
  <si>
    <t>Illinois</t>
  </si>
  <si>
    <t>OFF-EN-10002986</t>
  </si>
  <si>
    <t>Envelopes</t>
  </si>
  <si>
    <t>Staples White Wove Envelopes</t>
  </si>
  <si>
    <t>-35.532</t>
  </si>
  <si>
    <t>FUR-FU-10003799</t>
  </si>
  <si>
    <t>Tenex Contemporary Contur Chairmats for Low and Medium Pile Carpet 36 x 48</t>
  </si>
  <si>
    <t>123.552</t>
  </si>
  <si>
    <t>34.5946</t>
  </si>
  <si>
    <t>US-2024-150091</t>
  </si>
  <si>
    <t>09/07/2024</t>
  </si>
  <si>
    <t>09/11/2024</t>
  </si>
  <si>
    <t>DB-13060</t>
  </si>
  <si>
    <t>Denny Joy</t>
  </si>
  <si>
    <t>Jacksonville</t>
  </si>
  <si>
    <t>TEC-PH-10004960</t>
  </si>
  <si>
    <t>Cisco SPA504G 4-Line IP Phone with 2-Port Switch PoE and LCD Display</t>
  </si>
  <si>
    <t>1029.95</t>
  </si>
  <si>
    <t>-514.975</t>
  </si>
  <si>
    <t>OFF-PA-10000249</t>
  </si>
  <si>
    <t>Xerox 1999</t>
  </si>
  <si>
    <t>37.408</t>
  </si>
  <si>
    <t>12.2246</t>
  </si>
  <si>
    <t>CA-2024-117590</t>
  </si>
  <si>
    <t>12/08/2024</t>
  </si>
  <si>
    <t>JL-15835</t>
  </si>
  <si>
    <t>justin longo</t>
  </si>
  <si>
    <t>Naperville</t>
  </si>
  <si>
    <t>FUR-CH-10002960</t>
  </si>
  <si>
    <t>Global Troy Executive Leather Low-Back Tilter</t>
  </si>
  <si>
    <t>489.532</t>
  </si>
  <si>
    <t>-146.8596</t>
  </si>
  <si>
    <t>Justin Longo</t>
  </si>
  <si>
    <t>TEC-CO-10004722</t>
  </si>
  <si>
    <t>Copiers</t>
  </si>
  <si>
    <t>Sharp AL-1530CS Digital Copier</t>
  </si>
  <si>
    <t>2799.99</t>
  </si>
  <si>
    <t>-3360</t>
  </si>
  <si>
    <t>US-2023-146703</t>
  </si>
  <si>
    <t>04/19/2023</t>
  </si>
  <si>
    <t>SH-20665</t>
  </si>
  <si>
    <t>Shirley Daniels</t>
  </si>
  <si>
    <t>South Bend</t>
  </si>
  <si>
    <t>Indiana</t>
  </si>
  <si>
    <t>FUR-CH-10002823</t>
  </si>
  <si>
    <t>426.588</t>
  </si>
  <si>
    <t>-213.294</t>
  </si>
  <si>
    <t>04/26/2023</t>
  </si>
  <si>
    <t>OFF-FA-10004123</t>
  </si>
  <si>
    <t>Quartet Cubicle Partition Hangers</t>
  </si>
  <si>
    <t>26.376</t>
  </si>
  <si>
    <t>7.649</t>
  </si>
  <si>
    <t>CA-2023-138328</t>
  </si>
  <si>
    <t>06/15/2023</t>
  </si>
  <si>
    <t>06/20/2023</t>
  </si>
  <si>
    <t>TC-20980</t>
  </si>
  <si>
    <t>Toby Carlisle</t>
  </si>
  <si>
    <t>Portland</t>
  </si>
  <si>
    <t>Oregon</t>
  </si>
  <si>
    <t>FUR-FU-10004848</t>
  </si>
  <si>
    <t>Eldon Jumbo ProStack Desk Accessories Gray Smoke</t>
  </si>
  <si>
    <t>14.352</t>
  </si>
  <si>
    <t>4.3056</t>
  </si>
  <si>
    <t>CA-2024-113258</t>
  </si>
  <si>
    <t>10/24/2024</t>
  </si>
  <si>
    <t>10/31/2024</t>
  </si>
  <si>
    <t>DH-13150</t>
  </si>
  <si>
    <t>Darrin Hendrix</t>
  </si>
  <si>
    <t>OFF-AP-10004424</t>
  </si>
  <si>
    <t>Fellowes PB500 Electric Punch Plastic Comb Binding Machine with Manual Bind</t>
  </si>
  <si>
    <t>649.784</t>
  </si>
  <si>
    <t>0.5</t>
  </si>
  <si>
    <t>-974.676</t>
  </si>
  <si>
    <t>TEC-MA-10000822</t>
  </si>
  <si>
    <t>Machines</t>
  </si>
  <si>
    <t>Lexmark MX611dhe Monochrome Laser Printer</t>
  </si>
  <si>
    <t>2499.99</t>
  </si>
  <si>
    <t>749.997</t>
  </si>
  <si>
    <t>CA-2023-135545</t>
  </si>
  <si>
    <t>05/31/2023</t>
  </si>
  <si>
    <t>06/03/2023</t>
  </si>
  <si>
    <t>KT-16555</t>
  </si>
  <si>
    <t>Katrina Trentini</t>
  </si>
  <si>
    <t>Richmond</t>
  </si>
  <si>
    <t>Virginia</t>
  </si>
  <si>
    <t>FUR-FU-10004074</t>
  </si>
  <si>
    <t>Eldon Mobile Utility Cart</t>
  </si>
  <si>
    <t>66.144</t>
  </si>
  <si>
    <t>12.3619</t>
  </si>
  <si>
    <t>CA-2024-150965</t>
  </si>
  <si>
    <t>10/05/2024</t>
  </si>
  <si>
    <t>10/10/2024</t>
  </si>
  <si>
    <t>LC-17050</t>
  </si>
  <si>
    <t>Lena Cacioppo</t>
  </si>
  <si>
    <t>OFF-BI-10004654</t>
  </si>
  <si>
    <t>18.504</t>
  </si>
  <si>
    <t>5.5512</t>
  </si>
  <si>
    <t>US-2024-144568</t>
  </si>
  <si>
    <t>04/18/2024</t>
  </si>
  <si>
    <t>04/24/2024</t>
  </si>
  <si>
    <t>PE-18865</t>
  </si>
  <si>
    <t>Patrick Ellison</t>
  </si>
  <si>
    <t>Sioux Falls</t>
  </si>
  <si>
    <t>South Dakota</t>
  </si>
  <si>
    <t>TEC-CO-10001047</t>
  </si>
  <si>
    <t>Canon PC1080F Personal Copier</t>
  </si>
  <si>
    <t>4199.99</t>
  </si>
  <si>
    <t>-2520</t>
  </si>
  <si>
    <t>DUPLICATE_ROW</t>
  </si>
  <si>
    <t>CA-2023-105620</t>
  </si>
  <si>
    <t>02/11/2023</t>
  </si>
  <si>
    <t>02/17/2023</t>
  </si>
  <si>
    <t>AG-10675</t>
  </si>
  <si>
    <t>Anthony Garverick</t>
  </si>
  <si>
    <t>TEC-PH-10003988</t>
  </si>
  <si>
    <t>Motorola Talkabout T8500 and T9500</t>
  </si>
  <si>
    <t>59.99</t>
  </si>
  <si>
    <t>0.1</t>
  </si>
  <si>
    <t>24.8959</t>
  </si>
  <si>
    <t>CA-2024-167785</t>
  </si>
  <si>
    <t>05/13/2024</t>
  </si>
  <si>
    <t>05/18/2024</t>
  </si>
  <si>
    <t>EC-12145</t>
  </si>
  <si>
    <t>Eric Barreto</t>
  </si>
  <si>
    <t>Gary</t>
  </si>
  <si>
    <t>OFF-BI-10001525</t>
  </si>
  <si>
    <t>GBC Prepunched Paper 19-Hole Letter Size</t>
  </si>
  <si>
    <t>38.94</t>
  </si>
  <si>
    <t>11.682</t>
  </si>
  <si>
    <t>CA-2024-143982</t>
  </si>
  <si>
    <t>TB-21175</t>
  </si>
  <si>
    <t>Tracy Blumstein</t>
  </si>
  <si>
    <t>OFF-PA-10001970</t>
  </si>
  <si>
    <t>Xerox 1916</t>
  </si>
  <si>
    <t>11.784</t>
  </si>
  <si>
    <t>4.2426</t>
  </si>
  <si>
    <t>TEC-PH-10001949</t>
  </si>
  <si>
    <t>Cisco 7961G IP Phone VoIP phone</t>
  </si>
  <si>
    <t>383.028</t>
  </si>
  <si>
    <t>76.6056</t>
  </si>
  <si>
    <t>INVALID_DATA</t>
  </si>
  <si>
    <t>INVALID_DATE</t>
  </si>
  <si>
    <t>INVALID_ID</t>
  </si>
  <si>
    <t>INVALID NAME</t>
  </si>
  <si>
    <t>INVALID_CITY</t>
  </si>
  <si>
    <t>Category (VLOOKUP)</t>
  </si>
  <si>
    <t>Sale (VLOOKUP)</t>
  </si>
  <si>
    <t>IFERROR</t>
  </si>
  <si>
    <t>INDEX.MATCH</t>
  </si>
  <si>
    <t>Row Labels</t>
  </si>
  <si>
    <t>Grand Total</t>
  </si>
  <si>
    <t>Sum of Sales</t>
  </si>
  <si>
    <t>Column Labels</t>
  </si>
  <si>
    <t>Sum of Profit</t>
  </si>
  <si>
    <t>Sum of Profit_Margin</t>
  </si>
  <si>
    <t>Prioridad</t>
  </si>
  <si>
    <t>Área</t>
  </si>
  <si>
    <t>Acción Recomendada</t>
  </si>
  <si>
    <t>CRÍTICA</t>
  </si>
  <si>
    <r>
      <t>DETENER VENTAS</t>
    </r>
    <r>
      <rPr>
        <sz val="11"/>
        <color rgb="FF1F1F1F"/>
        <rFont val="Arial"/>
        <family val="2"/>
      </rPr>
      <t xml:space="preserve"> de Phones inmediatamente y renegociar contratos de Copiers.</t>
    </r>
  </si>
  <si>
    <t>ALTA</t>
  </si>
  <si>
    <r>
      <t xml:space="preserve">Revisar estrategia de precios en Mesas y Sillas; potenciar marketing en </t>
    </r>
    <r>
      <rPr>
        <b/>
        <sz val="11"/>
        <color rgb="FF1F1F1F"/>
        <rFont val="Arial"/>
        <family val="2"/>
      </rPr>
      <t>Libreros</t>
    </r>
    <r>
      <rPr>
        <sz val="11"/>
        <color rgb="FF1F1F1F"/>
        <rFont val="Arial"/>
        <family val="2"/>
      </rPr>
      <t xml:space="preserve"> (único rentable).</t>
    </r>
  </si>
  <si>
    <t>MEDIA</t>
  </si>
  <si>
    <r>
      <t xml:space="preserve">Cerrar o fusionar la región </t>
    </r>
    <r>
      <rPr>
        <b/>
        <sz val="11"/>
        <color rgb="FF1F1F1F"/>
        <rFont val="Arial"/>
        <family val="2"/>
      </rPr>
      <t>East</t>
    </r>
    <r>
      <rPr>
        <sz val="11"/>
        <color rgb="FF1F1F1F"/>
        <rFont val="Arial"/>
        <family val="2"/>
      </rPr>
      <t xml:space="preserve"> ($270 total) con Central para reducir costos operativos.</t>
    </r>
  </si>
  <si>
    <t>OPERATIVA</t>
  </si>
  <si>
    <t>Product Mix</t>
  </si>
  <si>
    <r>
      <t>Eliminar Appliances</t>
    </r>
    <r>
      <rPr>
        <sz val="11"/>
        <color rgb="FF1F1F1F"/>
        <rFont val="Arial"/>
        <family val="2"/>
      </rPr>
      <t xml:space="preserve"> (-113% margen) y promover Office Supplies (Papel, Sujetadores) por su alta rentabilidad.</t>
    </r>
  </si>
  <si>
    <t>SIGUIENTE</t>
  </si>
  <si>
    <t>Auditoría</t>
  </si>
  <si>
    <t>Realizar desglose de costos de proveedores y auditar políticas de descuento en el último trimestre.</t>
  </si>
  <si>
    <t>RETAIL PERFORMANCE ANALYSIS  ·  Business Intelligence Dashboard</t>
  </si>
  <si>
    <t>FY 2023–2024  ·  United States Market  ·  46 Transactions  ·  3 Categories  ·  4 Regions</t>
  </si>
  <si>
    <t>💰  Total Revenue
$30,260
Revenue across all categories</t>
  </si>
  <si>
    <t>📉  Total Profit
($17,157)
Net loss — action required</t>
  </si>
  <si>
    <t>⚠️  Profit Margin
-56.7%
Driven by Phones &amp; Copiers</t>
  </si>
  <si>
    <t xml:space="preserve">  SALES BY CATEGORY</t>
  </si>
  <si>
    <t xml:space="preserve">  PROFITABILITY BY SUB-CATEGORY</t>
  </si>
  <si>
    <t>Sales ($)</t>
  </si>
  <si>
    <t>Profit ($)</t>
  </si>
  <si>
    <t xml:space="preserve">  MONTHLY SALES TREND  ·  FY 2023–2024</t>
  </si>
  <si>
    <t>Month</t>
  </si>
  <si>
    <t>Feb 2023</t>
  </si>
  <si>
    <t>Apr 2023</t>
  </si>
  <si>
    <t>May 2023</t>
  </si>
  <si>
    <t>Jun 2023</t>
  </si>
  <si>
    <t>Jul 2023</t>
  </si>
  <si>
    <t>Aug 2023</t>
  </si>
  <si>
    <t>Sep 2023</t>
  </si>
  <si>
    <t>Oct 2023</t>
  </si>
  <si>
    <t>Nov 2023</t>
  </si>
  <si>
    <t>Dec 2023</t>
  </si>
  <si>
    <t>Apr 2024</t>
  </si>
  <si>
    <t>May 2024</t>
  </si>
  <si>
    <t>Jun 2024</t>
  </si>
  <si>
    <t>Aug 2024</t>
  </si>
  <si>
    <t>Sep 2024</t>
  </si>
  <si>
    <t>Oct 2024</t>
  </si>
  <si>
    <t>Nov 2024</t>
  </si>
  <si>
    <t>Dec 2024</t>
  </si>
  <si>
    <t xml:space="preserve">  STRATEGIC ACTION PLAN</t>
  </si>
  <si>
    <t>Priority</t>
  </si>
  <si>
    <t>Area</t>
  </si>
  <si>
    <t>Recommended Action</t>
  </si>
  <si>
    <t>🔴 CRITICAL</t>
  </si>
  <si>
    <t>Stop Phones sales immediately · Renegotiate Copiers contracts</t>
  </si>
  <si>
    <t>🟠 HIGH</t>
  </si>
  <si>
    <t>Review pricing on Tables &amp; Chairs · Promote Bookcases (only profitable)</t>
  </si>
  <si>
    <t>🟡 MEDIUM</t>
  </si>
  <si>
    <t>Merge East region ($270 total) with Central to cut operating costs</t>
  </si>
  <si>
    <t>🔵 OPERATIONAL</t>
  </si>
  <si>
    <t>Eliminate Appliances (-113% margin) · Promote Paper &amp; Fasteners</t>
  </si>
  <si>
    <t>⚪ NEXT STEP</t>
  </si>
  <si>
    <t>Audit</t>
  </si>
  <si>
    <t>Full supplier cost breakdown · Audit discount policies Q4</t>
  </si>
  <si>
    <t>Data Analyst Portfolio  ·  Hugo Ernesto Aguilar Gallardo  ·  github.com/Ernestoaguiga  ·  Data that speaks. Visuals that sell. Business that grows.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</si>
</sst>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0.00"/>
    <numFmt numFmtId="166" formatCode="\$#,##0.00;&quot;($&quot;#,##0.00\)"/>
  </numFmts>
  <fonts count="18" x14ac:knownFonts="1">
    <font>
      <sz val="11"/>
      <color theme="1"/>
      <name val="Calibri"/>
      <family val="2"/>
      <scheme val="minor"/>
    </font>
    <font>
      <sz val="11"/>
      <color theme="1"/>
      <name val="Calibri"/>
      <family val="2"/>
      <scheme val="minor"/>
    </font>
    <font>
      <sz val="11"/>
      <color rgb="FF1F1F1F"/>
      <name val="Arial"/>
      <family val="2"/>
    </font>
    <font>
      <b/>
      <sz val="11"/>
      <color rgb="FF1F1F1F"/>
      <name val="Arial"/>
      <family val="2"/>
    </font>
    <font>
      <b/>
      <sz val="15"/>
      <color rgb="FFFFFFFF"/>
      <name val="Arial"/>
      <charset val="1"/>
    </font>
    <font>
      <sz val="9"/>
      <color rgb="FFFFFFFF"/>
      <name val="Arial"/>
      <charset val="1"/>
    </font>
    <font>
      <b/>
      <sz val="10"/>
      <color rgb="FF1A1A2E"/>
      <name val="Arial"/>
      <charset val="1"/>
    </font>
    <font>
      <b/>
      <sz val="9"/>
      <color rgb="FFFFFFFF"/>
      <name val="Arial"/>
      <charset val="1"/>
    </font>
    <font>
      <sz val="9"/>
      <color rgb="FF1A1A2E"/>
      <name val="Arial"/>
      <charset val="1"/>
    </font>
    <font>
      <b/>
      <sz val="9"/>
      <color rgb="FFC0392B"/>
      <name val="Arial"/>
      <charset val="1"/>
    </font>
    <font>
      <b/>
      <sz val="9"/>
      <color rgb="FF27AE60"/>
      <name val="Arial"/>
      <charset val="1"/>
    </font>
    <font>
      <b/>
      <sz val="9"/>
      <color rgb="FF1A1A2E"/>
      <name val="Arial"/>
      <charset val="1"/>
    </font>
    <font>
      <b/>
      <sz val="9"/>
      <color rgb="FFE67E22"/>
      <name val="Arial"/>
      <charset val="1"/>
    </font>
    <font>
      <b/>
      <sz val="9"/>
      <color rgb="FFD4B200"/>
      <name val="Arial"/>
      <charset val="1"/>
    </font>
    <font>
      <b/>
      <sz val="9"/>
      <color rgb="FF4472C4"/>
      <name val="Arial"/>
      <charset val="1"/>
    </font>
    <font>
      <b/>
      <sz val="9"/>
      <color rgb="FF888888"/>
      <name val="Arial"/>
      <charset val="1"/>
    </font>
    <font>
      <i/>
      <sz val="8"/>
      <color rgb="FF4A5568"/>
      <name val="Arial"/>
      <charset val="1"/>
    </font>
    <font>
      <sz val="8"/>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theme="4" tint="0.79998168889431442"/>
        <bgColor theme="0" tint="-0.14999847407452621"/>
      </patternFill>
    </fill>
    <fill>
      <patternFill patternType="solid">
        <fgColor theme="4" tint="0.39997558519241921"/>
        <bgColor theme="0" tint="-0.14999847407452621"/>
      </patternFill>
    </fill>
    <fill>
      <patternFill patternType="solid">
        <fgColor theme="4" tint="-0.249977111117893"/>
        <bgColor indexed="64"/>
      </patternFill>
    </fill>
    <fill>
      <patternFill patternType="solid">
        <fgColor theme="4" tint="-0.499984740745262"/>
        <bgColor theme="0" tint="-0.14999847407452621"/>
      </patternFill>
    </fill>
    <fill>
      <patternFill patternType="solid">
        <fgColor theme="8" tint="0.59999389629810485"/>
        <bgColor theme="1"/>
      </patternFill>
    </fill>
    <fill>
      <patternFill patternType="solid">
        <fgColor rgb="FFF4F7FB"/>
        <bgColor rgb="FFEBF1FB"/>
      </patternFill>
    </fill>
    <fill>
      <patternFill patternType="solid">
        <fgColor rgb="FF1B2A4A"/>
        <bgColor rgb="FF203864"/>
      </patternFill>
    </fill>
    <fill>
      <patternFill patternType="solid">
        <fgColor rgb="FF2E4A7A"/>
        <bgColor rgb="FF2F5597"/>
      </patternFill>
    </fill>
    <fill>
      <patternFill patternType="solid">
        <fgColor rgb="FFFFFFFF"/>
        <bgColor rgb="FFF4F7FB"/>
      </patternFill>
    </fill>
    <fill>
      <patternFill patternType="solid">
        <fgColor rgb="FFEBF1FB"/>
        <bgColor rgb="FFF4F7FB"/>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ck">
        <color rgb="FF4472C4"/>
      </left>
      <right/>
      <top style="thin">
        <color rgb="FFBDC6D8"/>
      </top>
      <bottom style="thin">
        <color rgb="FFBDC6D8"/>
      </bottom>
      <diagonal/>
    </border>
    <border>
      <left style="thick">
        <color rgb="FFC0392B"/>
      </left>
      <right/>
      <top style="thin">
        <color rgb="FFBDC6D8"/>
      </top>
      <bottom style="thin">
        <color rgb="FFBDC6D8"/>
      </bottom>
      <diagonal/>
    </border>
    <border>
      <left style="thick">
        <color rgb="FFE67E22"/>
      </left>
      <right/>
      <top style="thin">
        <color rgb="FFBDC6D8"/>
      </top>
      <bottom style="thin">
        <color rgb="FFBDC6D8"/>
      </bottom>
      <diagonal/>
    </border>
    <border>
      <left style="thin">
        <color rgb="FF1B2A4A"/>
      </left>
      <right style="thin">
        <color rgb="FF1B2A4A"/>
      </right>
      <top style="thin">
        <color rgb="FF1B2A4A"/>
      </top>
      <bottom style="thin">
        <color rgb="FF1B2A4A"/>
      </bottom>
      <diagonal/>
    </border>
    <border>
      <left style="thin">
        <color rgb="FFBDC6D8"/>
      </left>
      <right style="thin">
        <color rgb="FFBDC6D8"/>
      </right>
      <top style="thin">
        <color rgb="FFBDC6D8"/>
      </top>
      <bottom style="thin">
        <color rgb="FFBDC6D8"/>
      </bottom>
      <diagonal/>
    </border>
    <border>
      <left style="thin">
        <color rgb="FF1B2A4A"/>
      </left>
      <right/>
      <top style="thin">
        <color rgb="FF1B2A4A"/>
      </top>
      <bottom style="thin">
        <color rgb="FF1B2A4A"/>
      </bottom>
      <diagonal/>
    </border>
    <border>
      <left style="thin">
        <color rgb="FFBDC6D8"/>
      </left>
      <right/>
      <top style="thin">
        <color rgb="FFBDC6D8"/>
      </top>
      <bottom style="thin">
        <color rgb="FFBDC6D8"/>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2" fontId="0" fillId="0" borderId="0" xfId="0" applyNumberFormat="1" applyAlignment="1">
      <alignment horizontal="right"/>
    </xf>
    <xf numFmtId="44" fontId="0" fillId="0" borderId="0" xfId="1" applyFont="1"/>
    <xf numFmtId="0" fontId="0"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1" applyNumberFormat="1" applyFont="1" applyAlignment="1">
      <alignment horizontal="center" vertical="center"/>
    </xf>
    <xf numFmtId="164" fontId="0" fillId="0" borderId="0" xfId="1" applyNumberFormat="1" applyFont="1" applyAlignment="1">
      <alignment horizontal="center" vertical="center"/>
    </xf>
    <xf numFmtId="164" fontId="0" fillId="0" borderId="0" xfId="0" applyNumberFormat="1"/>
    <xf numFmtId="0" fontId="3" fillId="2" borderId="4" xfId="0" applyFont="1" applyFill="1" applyBorder="1" applyAlignment="1">
      <alignment horizontal="left" vertical="center" wrapText="1" indent="1" readingOrder="1"/>
    </xf>
    <xf numFmtId="0" fontId="2" fillId="2" borderId="4" xfId="0" applyFont="1" applyFill="1" applyBorder="1" applyAlignment="1">
      <alignment horizontal="left" vertical="center" wrapText="1" indent="1" readingOrder="1"/>
    </xf>
    <xf numFmtId="0" fontId="3" fillId="2" borderId="3" xfId="0" applyFont="1" applyFill="1" applyBorder="1" applyAlignment="1">
      <alignment horizontal="left" vertical="center" wrapText="1" indent="1" readingOrder="1"/>
    </xf>
    <xf numFmtId="0" fontId="3" fillId="3" borderId="2" xfId="0" applyFont="1" applyFill="1" applyBorder="1" applyAlignment="1">
      <alignment horizontal="left" vertical="center" wrapText="1" indent="1" readingOrder="1"/>
    </xf>
    <xf numFmtId="0" fontId="2" fillId="3" borderId="2"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3" fillId="4" borderId="4" xfId="0" applyFont="1" applyFill="1" applyBorder="1" applyAlignment="1">
      <alignment horizontal="left" vertical="center" wrapText="1" indent="1" readingOrder="1"/>
    </xf>
    <xf numFmtId="0" fontId="2" fillId="4" borderId="4" xfId="0" applyFont="1" applyFill="1" applyBorder="1" applyAlignment="1">
      <alignment horizontal="left" vertical="center" wrapText="1" indent="1" readingOrder="1"/>
    </xf>
    <xf numFmtId="0" fontId="2" fillId="4" borderId="3" xfId="0" applyFont="1" applyFill="1" applyBorder="1" applyAlignment="1">
      <alignment horizontal="left" vertical="center" wrapText="1" indent="1" readingOrder="1"/>
    </xf>
    <xf numFmtId="0" fontId="3" fillId="5" borderId="4" xfId="0" applyFont="1" applyFill="1" applyBorder="1" applyAlignment="1">
      <alignment horizontal="left" vertical="center" wrapText="1" indent="1" readingOrder="1"/>
    </xf>
    <xf numFmtId="0" fontId="2" fillId="5" borderId="4" xfId="0" applyFont="1" applyFill="1" applyBorder="1" applyAlignment="1">
      <alignment horizontal="left" vertical="center" wrapText="1" indent="1" readingOrder="1"/>
    </xf>
    <xf numFmtId="0" fontId="2" fillId="5" borderId="3" xfId="0" applyFont="1" applyFill="1" applyBorder="1" applyAlignment="1">
      <alignment horizontal="left" vertical="center" wrapText="1" indent="1" readingOrder="1"/>
    </xf>
    <xf numFmtId="0" fontId="3" fillId="6" borderId="4" xfId="0" applyFont="1" applyFill="1" applyBorder="1" applyAlignment="1">
      <alignment horizontal="left" vertical="center" wrapText="1" indent="1" readingOrder="1"/>
    </xf>
    <xf numFmtId="0" fontId="2" fillId="6" borderId="4" xfId="0" applyFont="1" applyFill="1" applyBorder="1" applyAlignment="1">
      <alignment horizontal="left" vertical="center" wrapText="1" indent="1" readingOrder="1"/>
    </xf>
    <xf numFmtId="0" fontId="3" fillId="6" borderId="3" xfId="0" applyFont="1" applyFill="1" applyBorder="1" applyAlignment="1">
      <alignment horizontal="left" vertical="center" wrapText="1" indent="1" readingOrder="1"/>
    </xf>
    <xf numFmtId="0" fontId="3" fillId="7" borderId="4" xfId="0" applyFont="1" applyFill="1" applyBorder="1" applyAlignment="1">
      <alignment horizontal="left" vertical="center" wrapText="1" indent="1" readingOrder="1"/>
    </xf>
    <xf numFmtId="0" fontId="3" fillId="7" borderId="3" xfId="0" applyFont="1" applyFill="1" applyBorder="1" applyAlignment="1">
      <alignment horizontal="left" vertical="center" wrapText="1" indent="1" readingOrder="1"/>
    </xf>
    <xf numFmtId="0" fontId="0" fillId="8" borderId="0" xfId="0" applyFill="1"/>
    <xf numFmtId="0" fontId="7" fillId="9" borderId="8" xfId="0" applyFont="1" applyFill="1" applyBorder="1" applyAlignment="1">
      <alignment horizontal="center" vertical="center" wrapText="1"/>
    </xf>
    <xf numFmtId="0" fontId="8" fillId="11" borderId="9" xfId="0" applyFont="1" applyFill="1" applyBorder="1" applyAlignment="1">
      <alignment horizontal="left" vertical="center"/>
    </xf>
    <xf numFmtId="165" fontId="8" fillId="11" borderId="9" xfId="0" applyNumberFormat="1" applyFont="1" applyFill="1" applyBorder="1" applyAlignment="1">
      <alignment horizontal="center" vertical="center" wrapText="1"/>
    </xf>
    <xf numFmtId="166" fontId="9" fillId="11" borderId="9" xfId="0" applyNumberFormat="1" applyFont="1" applyFill="1" applyBorder="1" applyAlignment="1">
      <alignment horizontal="center" vertical="center" wrapText="1"/>
    </xf>
    <xf numFmtId="0" fontId="8" fillId="12" borderId="9" xfId="0" applyFont="1" applyFill="1" applyBorder="1" applyAlignment="1">
      <alignment horizontal="left" vertical="center"/>
    </xf>
    <xf numFmtId="165" fontId="8" fillId="12" borderId="9" xfId="0" applyNumberFormat="1" applyFont="1" applyFill="1" applyBorder="1" applyAlignment="1">
      <alignment horizontal="center" vertical="center" wrapText="1"/>
    </xf>
    <xf numFmtId="166" fontId="9" fillId="12" borderId="9" xfId="0" applyNumberFormat="1" applyFont="1" applyFill="1" applyBorder="1" applyAlignment="1">
      <alignment horizontal="center" vertical="center" wrapText="1"/>
    </xf>
    <xf numFmtId="166" fontId="10" fillId="11" borderId="9" xfId="0" applyNumberFormat="1" applyFont="1" applyFill="1" applyBorder="1" applyAlignment="1">
      <alignment horizontal="center" vertical="center" wrapText="1"/>
    </xf>
    <xf numFmtId="166" fontId="10" fillId="12" borderId="9" xfId="0" applyNumberFormat="1" applyFont="1" applyFill="1" applyBorder="1" applyAlignment="1">
      <alignment horizontal="center" vertical="center" wrapText="1"/>
    </xf>
    <xf numFmtId="0" fontId="16" fillId="8" borderId="0" xfId="0" applyFont="1" applyFill="1" applyAlignment="1">
      <alignment horizontal="center" vertical="center" wrapText="1"/>
    </xf>
    <xf numFmtId="0" fontId="14" fillId="11" borderId="11" xfId="0" applyFont="1" applyFill="1" applyBorder="1" applyAlignment="1">
      <alignment horizontal="center" vertical="center" wrapText="1"/>
    </xf>
    <xf numFmtId="0" fontId="11" fillId="11" borderId="11" xfId="0" applyFont="1" applyFill="1" applyBorder="1" applyAlignment="1">
      <alignment horizontal="center" vertical="center" wrapText="1"/>
    </xf>
    <xf numFmtId="0" fontId="8" fillId="11" borderId="11" xfId="0" applyFont="1" applyFill="1" applyBorder="1" applyAlignment="1">
      <alignment horizontal="left" vertical="center"/>
    </xf>
    <xf numFmtId="0" fontId="15" fillId="12" borderId="11" xfId="0" applyFont="1" applyFill="1" applyBorder="1" applyAlignment="1">
      <alignment horizontal="center" vertical="center" wrapText="1"/>
    </xf>
    <xf numFmtId="0" fontId="11" fillId="12" borderId="11" xfId="0" applyFont="1" applyFill="1" applyBorder="1" applyAlignment="1">
      <alignment horizontal="center" vertical="center" wrapText="1"/>
    </xf>
    <xf numFmtId="0" fontId="8" fillId="12" borderId="11" xfId="0" applyFont="1" applyFill="1" applyBorder="1" applyAlignment="1">
      <alignment horizontal="left" vertical="center"/>
    </xf>
    <xf numFmtId="0" fontId="12" fillId="11" borderId="11" xfId="0" applyFont="1" applyFill="1" applyBorder="1" applyAlignment="1">
      <alignment horizontal="center" vertical="center" wrapText="1"/>
    </xf>
    <xf numFmtId="0" fontId="13" fillId="12" borderId="11" xfId="0" applyFont="1" applyFill="1" applyBorder="1" applyAlignment="1">
      <alignment horizontal="center" vertical="center" wrapText="1"/>
    </xf>
    <xf numFmtId="0" fontId="7" fillId="10" borderId="0" xfId="0" applyFont="1" applyFill="1" applyAlignment="1">
      <alignment horizontal="left" vertical="center" wrapText="1"/>
    </xf>
    <xf numFmtId="0" fontId="7" fillId="10" borderId="0" xfId="0" applyFont="1" applyFill="1" applyAlignment="1">
      <alignment horizontal="left" vertical="center"/>
    </xf>
    <xf numFmtId="0" fontId="7" fillId="9" borderId="10" xfId="0" applyFont="1" applyFill="1" applyBorder="1" applyAlignment="1">
      <alignment horizontal="center" vertical="center" wrapText="1"/>
    </xf>
    <xf numFmtId="0" fontId="9" fillId="12" borderId="11" xfId="0" applyFont="1" applyFill="1" applyBorder="1" applyAlignment="1">
      <alignment horizontal="center" vertical="center" wrapText="1"/>
    </xf>
    <xf numFmtId="0" fontId="4" fillId="9" borderId="0" xfId="0" applyFont="1" applyFill="1" applyAlignment="1">
      <alignment horizontal="center" vertical="center" wrapText="1"/>
    </xf>
    <xf numFmtId="0" fontId="5" fillId="10" borderId="0" xfId="0" applyFont="1" applyFill="1" applyAlignment="1">
      <alignment horizontal="center" vertical="center" wrapText="1"/>
    </xf>
    <xf numFmtId="0" fontId="6" fillId="11" borderId="5"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6" fillId="11" borderId="7" xfId="0" applyFont="1" applyFill="1" applyBorder="1" applyAlignment="1">
      <alignment horizontal="center" vertical="center" wrapText="1"/>
    </xf>
  </cellXfs>
  <cellStyles count="2">
    <cellStyle name="Currency" xfId="1" builtinId="4"/>
    <cellStyle name="Normal" xfId="0" builtinId="0"/>
  </cellStyles>
  <dxfs count="23">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[Real_Business_Cases_MASTER.xlxs.xlsx]PT_Profitability_Analysis!PivotTable3</c:name>
    <c:fmtId val="13"/>
  </c:pivotSource>
  <c:chart>
    <c:autoTitleDeleted val="0"/>
    <c:pivotFmts>
      <c:pivotFmt>
        <c:idx val="0"/>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ln>
          <a:effectLst/>
        </c:spPr>
      </c:pivotFmt>
      <c:pivotFmt>
        <c:idx val="4"/>
        <c:spPr>
          <a:solidFill>
            <a:srgbClr val="FF0000"/>
          </a:solidFill>
          <a:ln>
            <a:solidFill>
              <a:srgbClr val="FF0000"/>
            </a:solidFill>
          </a:ln>
          <a:effectLst/>
        </c:spPr>
      </c:pivotFmt>
    </c:pivotFmts>
    <c:plotArea>
      <c:layout/>
      <c:barChart>
        <c:barDir val="col"/>
        <c:grouping val="stacked"/>
        <c:varyColors val="0"/>
        <c:ser>
          <c:idx val="0"/>
          <c:order val="0"/>
          <c:tx>
            <c:strRef>
              <c:f>PT_Profitability_Analysis!$B$3</c:f>
              <c:strCache>
                <c:ptCount val="1"/>
                <c:pt idx="0">
                  <c:v>Sum of Sales</c:v>
                </c:pt>
              </c:strCache>
            </c:strRef>
          </c:tx>
          <c:spPr>
            <a:solidFill>
              <a:schemeClr val="accent6"/>
            </a:solidFill>
            <a:ln>
              <a:solidFill>
                <a:srgbClr val="00B050"/>
              </a:solid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PT_Profitability_Analysis!$B$4:$B$23</c:f>
              <c:numCache>
                <c:formatCode>General</c:formatCode>
                <c:ptCount val="16"/>
                <c:pt idx="0">
                  <c:v>8966.6319999999996</c:v>
                </c:pt>
                <c:pt idx="1">
                  <c:v>11199.97</c:v>
                </c:pt>
                <c:pt idx="2">
                  <c:v>138.32400000000001</c:v>
                </c:pt>
                <c:pt idx="3">
                  <c:v>2499.9899999999998</c:v>
                </c:pt>
                <c:pt idx="4">
                  <c:v>822.51400000000001</c:v>
                </c:pt>
                <c:pt idx="5">
                  <c:v>463.35300000000001</c:v>
                </c:pt>
                <c:pt idx="6">
                  <c:v>7.28</c:v>
                </c:pt>
                <c:pt idx="7">
                  <c:v>42.876000000000005</c:v>
                </c:pt>
                <c:pt idx="8">
                  <c:v>531.67600000000004</c:v>
                </c:pt>
                <c:pt idx="9">
                  <c:v>64.744</c:v>
                </c:pt>
                <c:pt idx="10">
                  <c:v>14.62</c:v>
                </c:pt>
                <c:pt idx="11">
                  <c:v>0</c:v>
                </c:pt>
                <c:pt idx="12">
                  <c:v>3098.1094999999996</c:v>
                </c:pt>
                <c:pt idx="13">
                  <c:v>1861.175</c:v>
                </c:pt>
                <c:pt idx="14">
                  <c:v>261.95999999999998</c:v>
                </c:pt>
                <c:pt idx="15">
                  <c:v>286.75599999999997</c:v>
                </c:pt>
              </c:numCache>
            </c:numRef>
          </c:val>
          <c:extLst>
            <c:ext xmlns:c16="http://schemas.microsoft.com/office/drawing/2014/chart" uri="{C3380CC4-5D6E-409C-BE32-E72D297353CC}">
              <c16:uniqueId val="{00000000-3ECF-468A-9417-C8A23308C813}"/>
            </c:ext>
          </c:extLst>
        </c:ser>
        <c:ser>
          <c:idx val="1"/>
          <c:order val="1"/>
          <c:tx>
            <c:strRef>
              <c:f>PT_Profitability_Analysis!$C$3</c:f>
              <c:strCache>
                <c:ptCount val="1"/>
                <c:pt idx="0">
                  <c:v>Sum of Profit</c:v>
                </c:pt>
              </c:strCache>
            </c:strRef>
          </c:tx>
          <c:spPr>
            <a:solidFill>
              <a:srgbClr val="FF0000"/>
            </a:solidFill>
            <a:ln>
              <a:solidFill>
                <a:srgbClr val="FF0000"/>
              </a:solid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PT_Profitability_Analysis!$C$4:$C$23</c:f>
              <c:numCache>
                <c:formatCode>General</c:formatCode>
                <c:ptCount val="16"/>
                <c:pt idx="0">
                  <c:v>-7631.021099999999</c:v>
                </c:pt>
                <c:pt idx="1">
                  <c:v>-8400</c:v>
                </c:pt>
                <c:pt idx="2">
                  <c:v>24.140799999999999</c:v>
                </c:pt>
                <c:pt idx="3">
                  <c:v>749.99699999999996</c:v>
                </c:pt>
                <c:pt idx="4">
                  <c:v>-936.90010000000007</c:v>
                </c:pt>
                <c:pt idx="5">
                  <c:v>-127.55834999999999</c:v>
                </c:pt>
                <c:pt idx="6">
                  <c:v>1.9656</c:v>
                </c:pt>
                <c:pt idx="7">
                  <c:v>13.589</c:v>
                </c:pt>
                <c:pt idx="8">
                  <c:v>173.42739999999998</c:v>
                </c:pt>
                <c:pt idx="9">
                  <c:v>21.910399999999999</c:v>
                </c:pt>
                <c:pt idx="10">
                  <c:v>6.8714000000000004</c:v>
                </c:pt>
                <c:pt idx="11">
                  <c:v>-35.531999999999996</c:v>
                </c:pt>
                <c:pt idx="12">
                  <c:v>-896.43790000000001</c:v>
                </c:pt>
                <c:pt idx="13">
                  <c:v>-236.47560000000001</c:v>
                </c:pt>
                <c:pt idx="14">
                  <c:v>41.913600000000002</c:v>
                </c:pt>
                <c:pt idx="15">
                  <c:v>73.076499999999996</c:v>
                </c:pt>
              </c:numCache>
            </c:numRef>
          </c:val>
          <c:extLst>
            <c:ext xmlns:c16="http://schemas.microsoft.com/office/drawing/2014/chart" uri="{C3380CC4-5D6E-409C-BE32-E72D297353CC}">
              <c16:uniqueId val="{00000001-3ECF-468A-9417-C8A23308C813}"/>
            </c:ext>
          </c:extLst>
        </c:ser>
        <c:ser>
          <c:idx val="2"/>
          <c:order val="2"/>
          <c:tx>
            <c:strRef>
              <c:f>PT_Profitability_Analysis!$D$3</c:f>
              <c:strCache>
                <c:ptCount val="1"/>
                <c:pt idx="0">
                  <c:v>Sum of Profit_Margin</c:v>
                </c:pt>
              </c:strCache>
            </c:strRef>
          </c:tx>
          <c:spPr>
            <a:solidFill>
              <a:schemeClr val="accent3"/>
            </a:solidFill>
            <a:ln>
              <a:no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PT_Profitability_Analysis!$D$4:$D$23</c:f>
              <c:numCache>
                <c:formatCode>General</c:formatCode>
                <c:ptCount val="16"/>
                <c:pt idx="0">
                  <c:v>-0.85104653564459876</c:v>
                </c:pt>
                <c:pt idx="1">
                  <c:v>-0.75000200893395252</c:v>
                </c:pt>
                <c:pt idx="2">
                  <c:v>0.17452358231398743</c:v>
                </c:pt>
                <c:pt idx="3">
                  <c:v>0.3</c:v>
                </c:pt>
                <c:pt idx="4">
                  <c:v>-1.1390688790707515</c:v>
                </c:pt>
                <c:pt idx="5">
                  <c:v>-0.27529410622139056</c:v>
                </c:pt>
                <c:pt idx="6">
                  <c:v>0.27</c:v>
                </c:pt>
                <c:pt idx="7">
                  <c:v>0.31693721429237798</c:v>
                </c:pt>
                <c:pt idx="8">
                  <c:v>0.32619001045749663</c:v>
                </c:pt>
                <c:pt idx="9">
                  <c:v>0.33841591498826146</c:v>
                </c:pt>
                <c:pt idx="10">
                  <c:v>0.47000000000000003</c:v>
                </c:pt>
                <c:pt idx="11">
                  <c:v>#N/A</c:v>
                </c:pt>
                <c:pt idx="12">
                  <c:v>-0.28934997294317716</c:v>
                </c:pt>
                <c:pt idx="13">
                  <c:v>-0.12705715475438903</c:v>
                </c:pt>
                <c:pt idx="14">
                  <c:v>0.16000000000000003</c:v>
                </c:pt>
                <c:pt idx="15">
                  <c:v>0.25483860843365091</c:v>
                </c:pt>
              </c:numCache>
            </c:numRef>
          </c:val>
          <c:extLst>
            <c:ext xmlns:c16="http://schemas.microsoft.com/office/drawing/2014/chart" uri="{C3380CC4-5D6E-409C-BE32-E72D297353CC}">
              <c16:uniqueId val="{00000002-3ECF-468A-9417-C8A23308C813}"/>
            </c:ext>
          </c:extLst>
        </c:ser>
        <c:dLbls>
          <c:showLegendKey val="0"/>
          <c:showVal val="0"/>
          <c:showCatName val="0"/>
          <c:showSerName val="0"/>
          <c:showPercent val="0"/>
          <c:showBubbleSize val="0"/>
        </c:dLbls>
        <c:gapWidth val="150"/>
        <c:overlap val="100"/>
        <c:axId val="891137840"/>
        <c:axId val="727801248"/>
      </c:barChart>
      <c:catAx>
        <c:axId val="8911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7801248"/>
        <c:crosses val="autoZero"/>
        <c:auto val="1"/>
        <c:lblAlgn val="ctr"/>
        <c:lblOffset val="100"/>
        <c:noMultiLvlLbl val="0"/>
      </c:catAx>
      <c:valAx>
        <c:axId val="72780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9113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98839419305268"/>
          <c:y val="4.8965148421330436E-2"/>
          <c:w val="0.66769245285562162"/>
          <c:h val="0.840550207664847"/>
        </c:manualLayout>
      </c:layout>
      <c:barChart>
        <c:barDir val="col"/>
        <c:grouping val="clustered"/>
        <c:varyColors val="0"/>
        <c:ser>
          <c:idx val="0"/>
          <c:order val="0"/>
          <c:tx>
            <c:strRef>
              <c:f>[1]Dashboard!$C$9</c:f>
              <c:strCache>
                <c:ptCount val="1"/>
                <c:pt idx="0">
                  <c:v>Sales ($)</c:v>
                </c:pt>
              </c:strCache>
            </c:strRef>
          </c:tx>
          <c:spPr>
            <a:solidFill>
              <a:srgbClr val="4472C4"/>
            </a:solidFill>
            <a:ln w="6480">
              <a:solidFill>
                <a:srgbClr val="4472C4"/>
              </a:solidFill>
              <a:round/>
            </a:ln>
          </c:spPr>
          <c:invertIfNegative val="0"/>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[1]Dashboard!$B$10:$B$12</c:f>
              <c:strCache>
                <c:ptCount val="3"/>
                <c:pt idx="0">
                  <c:v>Technology</c:v>
                </c:pt>
                <c:pt idx="1">
                  <c:v>Furniture</c:v>
                </c:pt>
                <c:pt idx="2">
                  <c:v>Office Supplies</c:v>
                </c:pt>
              </c:strCache>
            </c:strRef>
          </c:cat>
          <c:val>
            <c:numRef>
              <c:f>[1]Dashboard!$C$10:$C$12</c:f>
              <c:numCache>
                <c:formatCode>General</c:formatCode>
                <c:ptCount val="3"/>
                <c:pt idx="0">
                  <c:v>22804.92</c:v>
                </c:pt>
                <c:pt idx="1">
                  <c:v>5508</c:v>
                </c:pt>
                <c:pt idx="2">
                  <c:v>1947.06</c:v>
                </c:pt>
              </c:numCache>
            </c:numRef>
          </c:val>
          <c:extLst>
            <c:ext xmlns:c16="http://schemas.microsoft.com/office/drawing/2014/chart" uri="{C3380CC4-5D6E-409C-BE32-E72D297353CC}">
              <c16:uniqueId val="{00000000-DB0D-4A72-9131-FD2C4E00F835}"/>
            </c:ext>
          </c:extLst>
        </c:ser>
        <c:dLbls>
          <c:showLegendKey val="0"/>
          <c:showVal val="0"/>
          <c:showCatName val="0"/>
          <c:showSerName val="0"/>
          <c:showPercent val="0"/>
          <c:showBubbleSize val="0"/>
        </c:dLbls>
        <c:gapWidth val="150"/>
        <c:axId val="8526123"/>
        <c:axId val="14891346"/>
      </c:barChart>
      <c:catAx>
        <c:axId val="852612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14891346"/>
        <c:crosses val="autoZero"/>
        <c:auto val="1"/>
        <c:lblAlgn val="ctr"/>
        <c:lblOffset val="100"/>
        <c:noMultiLvlLbl val="0"/>
      </c:catAx>
      <c:valAx>
        <c:axId val="14891346"/>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85261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126797203446919E-2"/>
          <c:y val="4.7311827956989246E-2"/>
          <c:w val="0.71483297331196427"/>
          <c:h val="0.84493912454491571"/>
        </c:manualLayout>
      </c:layout>
      <c:barChart>
        <c:barDir val="bar"/>
        <c:grouping val="clustered"/>
        <c:varyColors val="0"/>
        <c:ser>
          <c:idx val="0"/>
          <c:order val="0"/>
          <c:tx>
            <c:strRef>
              <c:f>[1]Dashboard!$I$9</c:f>
              <c:strCache>
                <c:ptCount val="1"/>
                <c:pt idx="0">
                  <c:v>Profit ($)</c:v>
                </c:pt>
              </c:strCache>
            </c:strRef>
          </c:tx>
          <c:spPr>
            <a:solidFill>
              <a:srgbClr val="4472C4"/>
            </a:solidFill>
            <a:ln w="6480">
              <a:solidFill>
                <a:srgbClr val="FFFFFF"/>
              </a:solidFill>
              <a:round/>
            </a:ln>
          </c:spPr>
          <c:invertIfNegative val="0"/>
          <c:dPt>
            <c:idx val="0"/>
            <c:invertIfNegative val="0"/>
            <c:bubble3D val="0"/>
            <c:spPr>
              <a:solidFill>
                <a:srgbClr val="C0392B"/>
              </a:solidFill>
              <a:ln w="6480">
                <a:solidFill>
                  <a:srgbClr val="FFFFFF"/>
                </a:solidFill>
                <a:round/>
              </a:ln>
            </c:spPr>
            <c:extLst>
              <c:ext xmlns:c16="http://schemas.microsoft.com/office/drawing/2014/chart" uri="{C3380CC4-5D6E-409C-BE32-E72D297353CC}">
                <c16:uniqueId val="{00000001-81C4-42C3-ADA2-7271BADA6AC6}"/>
              </c:ext>
            </c:extLst>
          </c:dPt>
          <c:dPt>
            <c:idx val="1"/>
            <c:invertIfNegative val="0"/>
            <c:bubble3D val="0"/>
            <c:spPr>
              <a:solidFill>
                <a:srgbClr val="C0392B"/>
              </a:solidFill>
              <a:ln w="6480">
                <a:solidFill>
                  <a:srgbClr val="FFFFFF"/>
                </a:solidFill>
                <a:round/>
              </a:ln>
            </c:spPr>
            <c:extLst>
              <c:ext xmlns:c16="http://schemas.microsoft.com/office/drawing/2014/chart" uri="{C3380CC4-5D6E-409C-BE32-E72D297353CC}">
                <c16:uniqueId val="{00000003-81C4-42C3-ADA2-7271BADA6AC6}"/>
              </c:ext>
            </c:extLst>
          </c:dPt>
          <c:dPt>
            <c:idx val="2"/>
            <c:invertIfNegative val="0"/>
            <c:bubble3D val="0"/>
            <c:spPr>
              <a:solidFill>
                <a:srgbClr val="C0392B"/>
              </a:solidFill>
              <a:ln w="6480">
                <a:solidFill>
                  <a:srgbClr val="FFFFFF"/>
                </a:solidFill>
                <a:round/>
              </a:ln>
            </c:spPr>
            <c:extLst>
              <c:ext xmlns:c16="http://schemas.microsoft.com/office/drawing/2014/chart" uri="{C3380CC4-5D6E-409C-BE32-E72D297353CC}">
                <c16:uniqueId val="{00000005-81C4-42C3-ADA2-7271BADA6AC6}"/>
              </c:ext>
            </c:extLst>
          </c:dPt>
          <c:dPt>
            <c:idx val="3"/>
            <c:invertIfNegative val="0"/>
            <c:bubble3D val="0"/>
            <c:spPr>
              <a:solidFill>
                <a:srgbClr val="C0392B"/>
              </a:solidFill>
              <a:ln w="6480">
                <a:solidFill>
                  <a:srgbClr val="FFFFFF"/>
                </a:solidFill>
                <a:round/>
              </a:ln>
            </c:spPr>
            <c:extLst>
              <c:ext xmlns:c16="http://schemas.microsoft.com/office/drawing/2014/chart" uri="{C3380CC4-5D6E-409C-BE32-E72D297353CC}">
                <c16:uniqueId val="{00000007-81C4-42C3-ADA2-7271BADA6AC6}"/>
              </c:ext>
            </c:extLst>
          </c:dPt>
          <c:dPt>
            <c:idx val="4"/>
            <c:invertIfNegative val="0"/>
            <c:bubble3D val="0"/>
            <c:spPr>
              <a:solidFill>
                <a:srgbClr val="C0392B"/>
              </a:solidFill>
              <a:ln w="6480">
                <a:solidFill>
                  <a:srgbClr val="FFFFFF"/>
                </a:solidFill>
                <a:round/>
              </a:ln>
            </c:spPr>
            <c:extLst>
              <c:ext xmlns:c16="http://schemas.microsoft.com/office/drawing/2014/chart" uri="{C3380CC4-5D6E-409C-BE32-E72D297353CC}">
                <c16:uniqueId val="{00000009-81C4-42C3-ADA2-7271BADA6AC6}"/>
              </c:ext>
            </c:extLst>
          </c:dPt>
          <c:dPt>
            <c:idx val="5"/>
            <c:invertIfNegative val="0"/>
            <c:bubble3D val="0"/>
            <c:spPr>
              <a:solidFill>
                <a:srgbClr val="C0392B"/>
              </a:solidFill>
              <a:ln w="6480">
                <a:solidFill>
                  <a:srgbClr val="FFFFFF"/>
                </a:solidFill>
                <a:round/>
              </a:ln>
            </c:spPr>
            <c:extLst>
              <c:ext xmlns:c16="http://schemas.microsoft.com/office/drawing/2014/chart" uri="{C3380CC4-5D6E-409C-BE32-E72D297353CC}">
                <c16:uniqueId val="{0000000B-81C4-42C3-ADA2-7271BADA6AC6}"/>
              </c:ext>
            </c:extLst>
          </c:dPt>
          <c:dPt>
            <c:idx val="6"/>
            <c:invertIfNegative val="0"/>
            <c:bubble3D val="0"/>
            <c:spPr>
              <a:solidFill>
                <a:srgbClr val="27AE60"/>
              </a:solidFill>
              <a:ln w="6480">
                <a:solidFill>
                  <a:srgbClr val="FFFFFF"/>
                </a:solidFill>
                <a:round/>
              </a:ln>
            </c:spPr>
            <c:extLst>
              <c:ext xmlns:c16="http://schemas.microsoft.com/office/drawing/2014/chart" uri="{C3380CC4-5D6E-409C-BE32-E72D297353CC}">
                <c16:uniqueId val="{0000000D-81C4-42C3-ADA2-7271BADA6AC6}"/>
              </c:ext>
            </c:extLst>
          </c:dPt>
          <c:dPt>
            <c:idx val="7"/>
            <c:invertIfNegative val="0"/>
            <c:bubble3D val="0"/>
            <c:spPr>
              <a:solidFill>
                <a:srgbClr val="27AE60"/>
              </a:solidFill>
              <a:ln w="6480">
                <a:solidFill>
                  <a:srgbClr val="FFFFFF"/>
                </a:solidFill>
                <a:round/>
              </a:ln>
            </c:spPr>
            <c:extLst>
              <c:ext xmlns:c16="http://schemas.microsoft.com/office/drawing/2014/chart" uri="{C3380CC4-5D6E-409C-BE32-E72D297353CC}">
                <c16:uniqueId val="{0000000F-81C4-42C3-ADA2-7271BADA6AC6}"/>
              </c:ext>
            </c:extLst>
          </c:dPt>
          <c:dPt>
            <c:idx val="8"/>
            <c:invertIfNegative val="0"/>
            <c:bubble3D val="0"/>
            <c:spPr>
              <a:solidFill>
                <a:srgbClr val="27AE60"/>
              </a:solidFill>
              <a:ln w="6480">
                <a:solidFill>
                  <a:srgbClr val="FFFFFF"/>
                </a:solidFill>
                <a:round/>
              </a:ln>
            </c:spPr>
            <c:extLst>
              <c:ext xmlns:c16="http://schemas.microsoft.com/office/drawing/2014/chart" uri="{C3380CC4-5D6E-409C-BE32-E72D297353CC}">
                <c16:uniqueId val="{00000011-81C4-42C3-ADA2-7271BADA6AC6}"/>
              </c:ext>
            </c:extLst>
          </c:dPt>
          <c:dPt>
            <c:idx val="9"/>
            <c:invertIfNegative val="0"/>
            <c:bubble3D val="0"/>
            <c:spPr>
              <a:solidFill>
                <a:srgbClr val="27AE60"/>
              </a:solidFill>
              <a:ln w="6480">
                <a:solidFill>
                  <a:srgbClr val="FFFFFF"/>
                </a:solidFill>
                <a:round/>
              </a:ln>
            </c:spPr>
            <c:extLst>
              <c:ext xmlns:c16="http://schemas.microsoft.com/office/drawing/2014/chart" uri="{C3380CC4-5D6E-409C-BE32-E72D297353CC}">
                <c16:uniqueId val="{00000013-81C4-42C3-ADA2-7271BADA6AC6}"/>
              </c:ext>
            </c:extLst>
          </c:dPt>
          <c:dLbls>
            <c:dLbl>
              <c:idx val="0"/>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1C4-42C3-ADA2-7271BADA6AC6}"/>
                </c:ext>
              </c:extLst>
            </c:dLbl>
            <c:dLbl>
              <c:idx val="1"/>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1C4-42C3-ADA2-7271BADA6AC6}"/>
                </c:ext>
              </c:extLst>
            </c:dLbl>
            <c:dLbl>
              <c:idx val="2"/>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1C4-42C3-ADA2-7271BADA6AC6}"/>
                </c:ext>
              </c:extLst>
            </c:dLbl>
            <c:dLbl>
              <c:idx val="3"/>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1C4-42C3-ADA2-7271BADA6AC6}"/>
                </c:ext>
              </c:extLst>
            </c:dLbl>
            <c:dLbl>
              <c:idx val="4"/>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81C4-42C3-ADA2-7271BADA6AC6}"/>
                </c:ext>
              </c:extLst>
            </c:dLbl>
            <c:dLbl>
              <c:idx val="5"/>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81C4-42C3-ADA2-7271BADA6AC6}"/>
                </c:ext>
              </c:extLst>
            </c:dLbl>
            <c:dLbl>
              <c:idx val="6"/>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81C4-42C3-ADA2-7271BADA6AC6}"/>
                </c:ext>
              </c:extLst>
            </c:dLbl>
            <c:dLbl>
              <c:idx val="7"/>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81C4-42C3-ADA2-7271BADA6AC6}"/>
                </c:ext>
              </c:extLst>
            </c:dLbl>
            <c:dLbl>
              <c:idx val="8"/>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81C4-42C3-ADA2-7271BADA6AC6}"/>
                </c:ext>
              </c:extLst>
            </c:dLbl>
            <c:dLbl>
              <c:idx val="9"/>
              <c:spPr/>
              <c:txPr>
                <a:bodyPr wrap="none"/>
                <a:lstStyle/>
                <a:p>
                  <a:pPr>
                    <a:defRPr sz="1000" b="0" strike="noStrike" spc="-1">
                      <a:latin typeface="Arial"/>
                    </a:defRPr>
                  </a:pPr>
                  <a:endParaRPr lang="es-MX"/>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3-81C4-42C3-ADA2-7271BADA6AC6}"/>
                </c:ext>
              </c:extLst>
            </c:dLbl>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[1]Dashboard!$H$10:$H$19</c:f>
              <c:strCache>
                <c:ptCount val="10"/>
                <c:pt idx="0">
                  <c:v>Phones</c:v>
                </c:pt>
                <c:pt idx="1">
                  <c:v>Copiers</c:v>
                </c:pt>
                <c:pt idx="2">
                  <c:v>Appliances</c:v>
                </c:pt>
                <c:pt idx="3">
                  <c:v>Tables</c:v>
                </c:pt>
                <c:pt idx="4">
                  <c:v>Chairs</c:v>
                </c:pt>
                <c:pt idx="5">
                  <c:v>Storage</c:v>
                </c:pt>
                <c:pt idx="6">
                  <c:v>Machines</c:v>
                </c:pt>
                <c:pt idx="7">
                  <c:v>Binders</c:v>
                </c:pt>
                <c:pt idx="8">
                  <c:v>Paper</c:v>
                </c:pt>
                <c:pt idx="9">
                  <c:v>Fasteners</c:v>
                </c:pt>
              </c:strCache>
            </c:strRef>
          </c:cat>
          <c:val>
            <c:numRef>
              <c:f>[1]Dashboard!$I$10:$I$19</c:f>
              <c:numCache>
                <c:formatCode>General</c:formatCode>
                <c:ptCount val="10"/>
                <c:pt idx="0">
                  <c:v>-7631.02</c:v>
                </c:pt>
                <c:pt idx="1">
                  <c:v>-8400</c:v>
                </c:pt>
                <c:pt idx="2">
                  <c:v>-936.9</c:v>
                </c:pt>
                <c:pt idx="3">
                  <c:v>-896.44</c:v>
                </c:pt>
                <c:pt idx="4">
                  <c:v>-236.48</c:v>
                </c:pt>
                <c:pt idx="5">
                  <c:v>-127.56</c:v>
                </c:pt>
                <c:pt idx="6">
                  <c:v>749.99699999999996</c:v>
                </c:pt>
                <c:pt idx="7">
                  <c:v>173.43</c:v>
                </c:pt>
                <c:pt idx="8">
                  <c:v>21.91</c:v>
                </c:pt>
                <c:pt idx="9">
                  <c:v>13.59</c:v>
                </c:pt>
              </c:numCache>
            </c:numRef>
          </c:val>
          <c:extLst>
            <c:ext xmlns:c16="http://schemas.microsoft.com/office/drawing/2014/chart" uri="{C3380CC4-5D6E-409C-BE32-E72D297353CC}">
              <c16:uniqueId val="{00000014-81C4-42C3-ADA2-7271BADA6AC6}"/>
            </c:ext>
          </c:extLst>
        </c:ser>
        <c:dLbls>
          <c:showLegendKey val="0"/>
          <c:showVal val="0"/>
          <c:showCatName val="0"/>
          <c:showSerName val="0"/>
          <c:showPercent val="0"/>
          <c:showBubbleSize val="0"/>
        </c:dLbls>
        <c:gapWidth val="150"/>
        <c:axId val="6777231"/>
        <c:axId val="32713446"/>
      </c:barChart>
      <c:catAx>
        <c:axId val="6777231"/>
        <c:scaling>
          <c:orientation val="minMax"/>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32713446"/>
        <c:crosses val="autoZero"/>
        <c:auto val="1"/>
        <c:lblAlgn val="ctr"/>
        <c:lblOffset val="100"/>
        <c:noMultiLvlLbl val="0"/>
      </c:catAx>
      <c:valAx>
        <c:axId val="32713446"/>
        <c:scaling>
          <c:orientation val="minMax"/>
        </c:scaling>
        <c:delete val="0"/>
        <c:axPos val="b"/>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67772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[1]Dashboard!$C$28</c:f>
              <c:strCache>
                <c:ptCount val="1"/>
                <c:pt idx="0">
                  <c:v>Sales ($)</c:v>
                </c:pt>
              </c:strCache>
            </c:strRef>
          </c:tx>
          <c:spPr>
            <a:ln w="24840">
              <a:solidFill>
                <a:srgbClr val="2E4A7A"/>
              </a:solidFill>
              <a:round/>
            </a:ln>
          </c:spPr>
          <c:marker>
            <c:symbol val="circle"/>
            <c:size val="6"/>
            <c:spPr>
              <a:solidFill>
                <a:srgbClr val="2E4A7A"/>
              </a:solidFill>
            </c:spPr>
          </c:marker>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[1]Dashboard!$B$29:$B$46</c:f>
              <c:strCache>
                <c:ptCount val="18"/>
                <c:pt idx="0">
                  <c:v>Feb 2023</c:v>
                </c:pt>
                <c:pt idx="1">
                  <c:v>Apr 2023</c:v>
                </c:pt>
                <c:pt idx="2">
                  <c:v>May 2023</c:v>
                </c:pt>
                <c:pt idx="3">
                  <c:v>Jun 2023</c:v>
                </c:pt>
                <c:pt idx="4">
                  <c:v>Jul 2023</c:v>
                </c:pt>
                <c:pt idx="5">
                  <c:v>Aug 2023</c:v>
                </c:pt>
                <c:pt idx="6">
                  <c:v>Sep 2023</c:v>
                </c:pt>
                <c:pt idx="7">
                  <c:v>Oct 2023</c:v>
                </c:pt>
                <c:pt idx="8">
                  <c:v>Nov 2023</c:v>
                </c:pt>
                <c:pt idx="9">
                  <c:v>Dec 2023</c:v>
                </c:pt>
                <c:pt idx="10">
                  <c:v>Apr 2024</c:v>
                </c:pt>
                <c:pt idx="11">
                  <c:v>May 2024</c:v>
                </c:pt>
                <c:pt idx="12">
                  <c:v>Jun 2024</c:v>
                </c:pt>
                <c:pt idx="13">
                  <c:v>Aug 2024</c:v>
                </c:pt>
                <c:pt idx="14">
                  <c:v>Sep 2024</c:v>
                </c:pt>
                <c:pt idx="15">
                  <c:v>Oct 2024</c:v>
                </c:pt>
                <c:pt idx="16">
                  <c:v>Nov 2024</c:v>
                </c:pt>
                <c:pt idx="17">
                  <c:v>Dec 2024</c:v>
                </c:pt>
              </c:strCache>
            </c:strRef>
          </c:cat>
          <c:val>
            <c:numRef>
              <c:f>[1]Dashboard!$C$29:$C$46</c:f>
              <c:numCache>
                <c:formatCode>General</c:formatCode>
                <c:ptCount val="18"/>
                <c:pt idx="0">
                  <c:v>59.99</c:v>
                </c:pt>
                <c:pt idx="1">
                  <c:v>876.49</c:v>
                </c:pt>
                <c:pt idx="2">
                  <c:v>66.14</c:v>
                </c:pt>
                <c:pt idx="3">
                  <c:v>28.97</c:v>
                </c:pt>
                <c:pt idx="4">
                  <c:v>6166.86</c:v>
                </c:pt>
                <c:pt idx="5">
                  <c:v>123.55</c:v>
                </c:pt>
                <c:pt idx="6">
                  <c:v>130.02000000000001</c:v>
                </c:pt>
                <c:pt idx="7">
                  <c:v>979.95</c:v>
                </c:pt>
                <c:pt idx="8">
                  <c:v>1015.68</c:v>
                </c:pt>
                <c:pt idx="9">
                  <c:v>1199.43</c:v>
                </c:pt>
                <c:pt idx="10">
                  <c:v>9496.51</c:v>
                </c:pt>
                <c:pt idx="11">
                  <c:v>38.94</c:v>
                </c:pt>
                <c:pt idx="12">
                  <c:v>963.29</c:v>
                </c:pt>
                <c:pt idx="13">
                  <c:v>835.8</c:v>
                </c:pt>
                <c:pt idx="14">
                  <c:v>1103.98</c:v>
                </c:pt>
                <c:pt idx="15">
                  <c:v>3168.28</c:v>
                </c:pt>
                <c:pt idx="16">
                  <c:v>103.92</c:v>
                </c:pt>
                <c:pt idx="17">
                  <c:v>3519.14</c:v>
                </c:pt>
              </c:numCache>
            </c:numRef>
          </c:val>
          <c:smooth val="1"/>
          <c:extLst>
            <c:ext xmlns:c16="http://schemas.microsoft.com/office/drawing/2014/chart" uri="{C3380CC4-5D6E-409C-BE32-E72D297353CC}">
              <c16:uniqueId val="{00000000-A563-426F-979B-0A6CD438EA87}"/>
            </c:ext>
          </c:extLst>
        </c:ser>
        <c:dLbls>
          <c:showLegendKey val="0"/>
          <c:showVal val="0"/>
          <c:showCatName val="0"/>
          <c:showSerName val="0"/>
          <c:showPercent val="0"/>
          <c:showBubbleSize val="0"/>
        </c:dLbls>
        <c:hiLowLines>
          <c:spPr>
            <a:ln w="0">
              <a:noFill/>
            </a:ln>
          </c:spPr>
        </c:hiLowLines>
        <c:marker val="1"/>
        <c:smooth val="0"/>
        <c:axId val="30171687"/>
        <c:axId val="58304364"/>
      </c:lineChart>
      <c:catAx>
        <c:axId val="3017168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58304364"/>
        <c:crosses val="autoZero"/>
        <c:auto val="1"/>
        <c:lblAlgn val="ctr"/>
        <c:lblOffset val="100"/>
        <c:noMultiLvlLbl val="0"/>
      </c:catAx>
      <c:valAx>
        <c:axId val="58304364"/>
        <c:scaling>
          <c:orientation val="minMax"/>
        </c:scaling>
        <c:delete val="0"/>
        <c:axPos val="l"/>
        <c:majorGridlines>
          <c:spPr>
            <a:ln w="6480">
              <a:solidFill>
                <a:srgbClr val="8B8B8B"/>
              </a:solidFill>
              <a:round/>
            </a:ln>
          </c:spPr>
        </c:majorGridlines>
        <c:numFmt formatCode="\$#,##0"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s-MX"/>
          </a:p>
        </c:txPr>
        <c:crossAx val="3017168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47624</xdr:rowOff>
    </xdr:from>
    <xdr:to>
      <xdr:col>4</xdr:col>
      <xdr:colOff>390525</xdr:colOff>
      <xdr:row>1</xdr:row>
      <xdr:rowOff>133349</xdr:rowOff>
    </xdr:to>
    <xdr:sp macro="" textlink="">
      <xdr:nvSpPr>
        <xdr:cNvPr id="2" name="TextBox 1">
          <a:extLst>
            <a:ext uri="{FF2B5EF4-FFF2-40B4-BE49-F238E27FC236}">
              <a16:creationId xmlns:a16="http://schemas.microsoft.com/office/drawing/2014/main" id="{87BEC384-72FD-5EA0-2069-740840028217}"/>
            </a:ext>
          </a:extLst>
        </xdr:cNvPr>
        <xdr:cNvSpPr txBox="1"/>
      </xdr:nvSpPr>
      <xdr:spPr>
        <a:xfrm>
          <a:off x="76201" y="47624"/>
          <a:ext cx="2867024"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Sales Performance by Category - Q4 2024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142875</xdr:colOff>
      <xdr:row>8</xdr:row>
      <xdr:rowOff>66676</xdr:rowOff>
    </xdr:from>
    <xdr:to>
      <xdr:col>8</xdr:col>
      <xdr:colOff>142875</xdr:colOff>
      <xdr:row>14</xdr:row>
      <xdr:rowOff>104776</xdr:rowOff>
    </xdr:to>
    <mc:AlternateContent xmlns:mc="http://schemas.openxmlformats.org/markup-compatibility/2006" xmlns:a14="http://schemas.microsoft.com/office/drawing/2010/main">
      <mc:Choice Requires="a14">
        <xdr:graphicFrame macro="">
          <xdr:nvGraphicFramePr>
            <xdr:cNvPr id="2" name="Ship_Mode">
              <a:extLst>
                <a:ext uri="{FF2B5EF4-FFF2-40B4-BE49-F238E27FC236}">
                  <a16:creationId xmlns:a16="http://schemas.microsoft.com/office/drawing/2014/main" id="{975C67A0-4F72-096F-101C-4826DE9EA9B9}"/>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4572000" y="1590676"/>
              <a:ext cx="1828800" cy="11811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123825</xdr:colOff>
      <xdr:row>1</xdr:row>
      <xdr:rowOff>28576</xdr:rowOff>
    </xdr:from>
    <xdr:to>
      <xdr:col>8</xdr:col>
      <xdr:colOff>123825</xdr:colOff>
      <xdr:row>7</xdr:row>
      <xdr:rowOff>104776</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518491D5-A952-EBB9-496C-71C7E7625B6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52950" y="219076"/>
              <a:ext cx="1828800" cy="12192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104776</xdr:colOff>
      <xdr:row>0</xdr:row>
      <xdr:rowOff>57150</xdr:rowOff>
    </xdr:from>
    <xdr:to>
      <xdr:col>3</xdr:col>
      <xdr:colOff>561976</xdr:colOff>
      <xdr:row>1</xdr:row>
      <xdr:rowOff>142875</xdr:rowOff>
    </xdr:to>
    <xdr:sp macro="" textlink="">
      <xdr:nvSpPr>
        <xdr:cNvPr id="4" name="TextBox 3">
          <a:extLst>
            <a:ext uri="{FF2B5EF4-FFF2-40B4-BE49-F238E27FC236}">
              <a16:creationId xmlns:a16="http://schemas.microsoft.com/office/drawing/2014/main" id="{D80CED3E-1285-6792-596F-2019AA09AA1B}"/>
            </a:ext>
          </a:extLst>
        </xdr:cNvPr>
        <xdr:cNvSpPr txBox="1"/>
      </xdr:nvSpPr>
      <xdr:spPr>
        <a:xfrm>
          <a:off x="104776" y="57150"/>
          <a:ext cx="33909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400" b="1"/>
            <a:t>Sales Performance by Category - Q4 2024</a:t>
          </a:r>
        </a:p>
      </xdr:txBody>
    </xdr:sp>
    <xdr:clientData/>
  </xdr:twoCellAnchor>
  <xdr:twoCellAnchor>
    <xdr:from>
      <xdr:col>0</xdr:col>
      <xdr:colOff>0</xdr:colOff>
      <xdr:row>10</xdr:row>
      <xdr:rowOff>85725</xdr:rowOff>
    </xdr:from>
    <xdr:to>
      <xdr:col>4</xdr:col>
      <xdr:colOff>733425</xdr:colOff>
      <xdr:row>14</xdr:row>
      <xdr:rowOff>85725</xdr:rowOff>
    </xdr:to>
    <xdr:sp macro="" textlink="">
      <xdr:nvSpPr>
        <xdr:cNvPr id="5" name="TextBox 4">
          <a:extLst>
            <a:ext uri="{FF2B5EF4-FFF2-40B4-BE49-F238E27FC236}">
              <a16:creationId xmlns:a16="http://schemas.microsoft.com/office/drawing/2014/main" id="{FA3E87DB-19CF-D664-7B82-7AA457223DD5}"/>
            </a:ext>
          </a:extLst>
        </xdr:cNvPr>
        <xdr:cNvSpPr txBox="1"/>
      </xdr:nvSpPr>
      <xdr:spPr>
        <a:xfrm>
          <a:off x="0" y="1990725"/>
          <a:ext cx="441007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Insights:</a:t>
          </a:r>
        </a:p>
        <a:p>
          <a:r>
            <a:rPr lang="es-MX"/>
            <a:t>East región = underperformer (solo $269.90) </a:t>
          </a:r>
        </a:p>
        <a:p>
          <a:r>
            <a:rPr lang="es-MX"/>
            <a:t>Central y West = volúmenes más altos pero con productos no-rentables</a:t>
          </a:r>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66675</xdr:rowOff>
    </xdr:from>
    <xdr:to>
      <xdr:col>3</xdr:col>
      <xdr:colOff>752475</xdr:colOff>
      <xdr:row>1</xdr:row>
      <xdr:rowOff>142875</xdr:rowOff>
    </xdr:to>
    <xdr:sp macro="" textlink="">
      <xdr:nvSpPr>
        <xdr:cNvPr id="2" name="TextBox 1">
          <a:extLst>
            <a:ext uri="{FF2B5EF4-FFF2-40B4-BE49-F238E27FC236}">
              <a16:creationId xmlns:a16="http://schemas.microsoft.com/office/drawing/2014/main" id="{94548ED8-65F1-E666-EDDE-C796FD9308BF}"/>
            </a:ext>
          </a:extLst>
        </xdr:cNvPr>
        <xdr:cNvSpPr txBox="1"/>
      </xdr:nvSpPr>
      <xdr:spPr>
        <a:xfrm>
          <a:off x="152400" y="66675"/>
          <a:ext cx="33528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400" b="1"/>
            <a:t>Sales Performance by Category - Q4 2024</a:t>
          </a:r>
        </a:p>
      </xdr:txBody>
    </xdr:sp>
    <xdr:clientData/>
  </xdr:twoCellAnchor>
  <xdr:twoCellAnchor>
    <xdr:from>
      <xdr:col>5</xdr:col>
      <xdr:colOff>409574</xdr:colOff>
      <xdr:row>1</xdr:row>
      <xdr:rowOff>128586</xdr:rowOff>
    </xdr:from>
    <xdr:to>
      <xdr:col>17</xdr:col>
      <xdr:colOff>314325</xdr:colOff>
      <xdr:row>24</xdr:row>
      <xdr:rowOff>79057</xdr:rowOff>
    </xdr:to>
    <xdr:graphicFrame macro="">
      <xdr:nvGraphicFramePr>
        <xdr:cNvPr id="3" name="Chart 2">
          <a:extLst>
            <a:ext uri="{FF2B5EF4-FFF2-40B4-BE49-F238E27FC236}">
              <a16:creationId xmlns:a16="http://schemas.microsoft.com/office/drawing/2014/main" id="{2B5507B6-7C92-B86B-795F-EC6F7FF6C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25</xdr:row>
      <xdr:rowOff>76201</xdr:rowOff>
    </xdr:from>
    <xdr:to>
      <xdr:col>13</xdr:col>
      <xdr:colOff>590550</xdr:colOff>
      <xdr:row>32</xdr:row>
      <xdr:rowOff>38101</xdr:rowOff>
    </xdr:to>
    <xdr:sp macro="" textlink="">
      <xdr:nvSpPr>
        <xdr:cNvPr id="4" name="TextBox 3">
          <a:extLst>
            <a:ext uri="{FF2B5EF4-FFF2-40B4-BE49-F238E27FC236}">
              <a16:creationId xmlns:a16="http://schemas.microsoft.com/office/drawing/2014/main" id="{4D38E722-4A45-03B6-0911-1A064F7B1E4A}"/>
            </a:ext>
          </a:extLst>
        </xdr:cNvPr>
        <xdr:cNvSpPr txBox="1"/>
      </xdr:nvSpPr>
      <xdr:spPr>
        <a:xfrm>
          <a:off x="6162675" y="4838701"/>
          <a:ext cx="4010025"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Insights:</a:t>
          </a:r>
        </a:p>
        <a:p>
          <a:r>
            <a:rPr lang="es-MX" sz="1100"/>
            <a:t>    </a:t>
          </a:r>
          <a:r>
            <a:rPr lang="es-MX" sz="1200"/>
            <a:t>1. URGENT: Stop selling Phones &amp; Copiers (losing 75-85%)</a:t>
          </a:r>
        </a:p>
        <a:p>
          <a:r>
            <a:rPr lang="es-MX" sz="1200"/>
            <a:t>    2. Review Technology supplier contracts</a:t>
          </a:r>
        </a:p>
        <a:p>
          <a:r>
            <a:rPr lang="es-MX" sz="1200"/>
            <a:t>    3. Investigate discount strategy in Technology</a:t>
          </a:r>
        </a:p>
        <a:p>
          <a:r>
            <a:rPr lang="es-MX" sz="1200"/>
            <a:t>    4. Focus on Office Supplies winners (Fasteners, Binders)</a:t>
          </a:r>
        </a:p>
        <a:p>
          <a:r>
            <a:rPr lang="es-MX" sz="1200"/>
            <a:t>    5. Close or restructure East region operations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209550</xdr:rowOff>
    </xdr:from>
    <xdr:to>
      <xdr:col>2</xdr:col>
      <xdr:colOff>2181225</xdr:colOff>
      <xdr:row>0</xdr:row>
      <xdr:rowOff>790575</xdr:rowOff>
    </xdr:to>
    <xdr:sp macro="" textlink="">
      <xdr:nvSpPr>
        <xdr:cNvPr id="2" name="TextBox 1">
          <a:extLst>
            <a:ext uri="{FF2B5EF4-FFF2-40B4-BE49-F238E27FC236}">
              <a16:creationId xmlns:a16="http://schemas.microsoft.com/office/drawing/2014/main" id="{A0899902-D97A-5578-F5D9-A44F93080519}"/>
            </a:ext>
          </a:extLst>
        </xdr:cNvPr>
        <xdr:cNvSpPr txBox="1"/>
      </xdr:nvSpPr>
      <xdr:spPr>
        <a:xfrm>
          <a:off x="95250" y="209550"/>
          <a:ext cx="4905375"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2000" b="1"/>
            <a:t>Sales Performance Analysis - Q4 2024</a:t>
          </a:r>
        </a:p>
      </xdr:txBody>
    </xdr:sp>
    <xdr:clientData/>
  </xdr:twoCellAnchor>
  <xdr:twoCellAnchor>
    <xdr:from>
      <xdr:col>3</xdr:col>
      <xdr:colOff>428626</xdr:colOff>
      <xdr:row>1</xdr:row>
      <xdr:rowOff>9525</xdr:rowOff>
    </xdr:from>
    <xdr:to>
      <xdr:col>10</xdr:col>
      <xdr:colOff>123825</xdr:colOff>
      <xdr:row>8</xdr:row>
      <xdr:rowOff>9525</xdr:rowOff>
    </xdr:to>
    <xdr:sp macro="" textlink="">
      <xdr:nvSpPr>
        <xdr:cNvPr id="3" name="TextBox 2">
          <a:extLst>
            <a:ext uri="{FF2B5EF4-FFF2-40B4-BE49-F238E27FC236}">
              <a16:creationId xmlns:a16="http://schemas.microsoft.com/office/drawing/2014/main" id="{4B6B98DF-1F87-34C5-3FE0-27949FEDFEAA}"/>
            </a:ext>
          </a:extLst>
        </xdr:cNvPr>
        <xdr:cNvSpPr txBox="1"/>
      </xdr:nvSpPr>
      <xdr:spPr>
        <a:xfrm>
          <a:off x="5772151" y="923925"/>
          <a:ext cx="3962399" cy="480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t>URGENT ACTIONS:</a:t>
          </a:r>
        </a:p>
        <a:p>
          <a:r>
            <a:rPr lang="es-MX" sz="1400" b="1"/>
            <a:t>===============</a:t>
          </a:r>
        </a:p>
        <a:p>
          <a:r>
            <a:rPr lang="es-MX" sz="1200"/>
            <a:t>1. Technology Category Crisis</a:t>
          </a:r>
        </a:p>
        <a:p>
          <a:r>
            <a:rPr lang="es-MX" sz="1200"/>
            <a:t>   - Phones: -85% margin → STOP SALES immediately</a:t>
          </a:r>
        </a:p>
        <a:p>
          <a:r>
            <a:rPr lang="es-MX" sz="1200"/>
            <a:t>   - Copiers: -75% margin → Renegotiate supplier contracts</a:t>
          </a:r>
        </a:p>
        <a:p>
          <a:r>
            <a:rPr lang="es-MX" sz="1200"/>
            <a:t>   - Root cause: Likely excessive discounting or supplier costs</a:t>
          </a:r>
        </a:p>
        <a:p>
          <a:endParaRPr lang="es-MX" sz="1200"/>
        </a:p>
        <a:p>
          <a:r>
            <a:rPr lang="es-MX" sz="1200"/>
            <a:t>2. Furniture Issues</a:t>
          </a:r>
        </a:p>
        <a:p>
          <a:r>
            <a:rPr lang="es-MX" sz="1200"/>
            <a:t>   - Tables &amp; Chairs losing money → Review pricing strategy</a:t>
          </a:r>
        </a:p>
        <a:p>
          <a:r>
            <a:rPr lang="es-MX" sz="1200"/>
            <a:t>   - Bookcases profitable (16%) → Increase marketing</a:t>
          </a:r>
        </a:p>
        <a:p>
          <a:endParaRPr lang="es-MX" sz="1200"/>
        </a:p>
        <a:p>
          <a:r>
            <a:rPr lang="es-MX" sz="1200"/>
            <a:t>3. Regional Strategy</a:t>
          </a:r>
        </a:p>
        <a:p>
          <a:r>
            <a:rPr lang="es-MX" sz="1200"/>
            <a:t>   - East region ($270 total) → Close or merge with Central</a:t>
          </a:r>
        </a:p>
        <a:p>
          <a:r>
            <a:rPr lang="es-MX" sz="1200"/>
            <a:t>   - West &amp; Central → Focus on Office Supplies (profitable)</a:t>
          </a:r>
        </a:p>
        <a:p>
          <a:endParaRPr lang="es-MX" sz="1200"/>
        </a:p>
        <a:p>
          <a:r>
            <a:rPr lang="es-MX" sz="1200"/>
            <a:t>4. Product Mix</a:t>
          </a:r>
        </a:p>
        <a:p>
          <a:r>
            <a:rPr lang="es-MX" sz="1200"/>
            <a:t>   - PROMOTE: Office Supplies (Fasteners, Binders, Paper)</a:t>
          </a:r>
        </a:p>
        <a:p>
          <a:r>
            <a:rPr lang="es-MX" sz="1200"/>
            <a:t>   - REVIEW: Appliances (-113% margin) → Eliminate</a:t>
          </a:r>
        </a:p>
        <a:p>
          <a:r>
            <a:rPr lang="es-MX" sz="1200"/>
            <a:t>   - OPTIMIZE: Machines (only Tech winner at 30%)</a:t>
          </a:r>
        </a:p>
        <a:p>
          <a:endParaRPr lang="es-MX" sz="1200"/>
        </a:p>
        <a:p>
          <a:r>
            <a:rPr lang="es-MX" sz="1200"/>
            <a:t>5. Immediate Next Steps</a:t>
          </a:r>
        </a:p>
        <a:p>
          <a:r>
            <a:rPr lang="es-MX" sz="1200"/>
            <a:t>   - Audit discount policies in Technology</a:t>
          </a:r>
        </a:p>
        <a:p>
          <a:r>
            <a:rPr lang="es-MX" sz="1200"/>
            <a:t>   - Request supplier cost breakdown</a:t>
          </a:r>
        </a:p>
        <a:p>
          <a:r>
            <a:rPr lang="es-MX" sz="1200"/>
            <a:t>   - Analyze last 3 months trend: Is this getting worse?</a:t>
          </a: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12</xdr:row>
      <xdr:rowOff>19050</xdr:rowOff>
    </xdr:from>
    <xdr:to>
      <xdr:col>5</xdr:col>
      <xdr:colOff>584070</xdr:colOff>
      <xdr:row>23</xdr:row>
      <xdr:rowOff>88815</xdr:rowOff>
    </xdr:to>
    <xdr:graphicFrame macro="">
      <xdr:nvGraphicFramePr>
        <xdr:cNvPr id="2" name="Chart 1">
          <a:extLst>
            <a:ext uri="{FF2B5EF4-FFF2-40B4-BE49-F238E27FC236}">
              <a16:creationId xmlns:a16="http://schemas.microsoft.com/office/drawing/2014/main" id="{5B0AE6B3-D716-458F-96FE-422A4F0E0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12</xdr:row>
      <xdr:rowOff>0</xdr:rowOff>
    </xdr:from>
    <xdr:to>
      <xdr:col>12</xdr:col>
      <xdr:colOff>962025</xdr:colOff>
      <xdr:row>23</xdr:row>
      <xdr:rowOff>142875</xdr:rowOff>
    </xdr:to>
    <xdr:graphicFrame macro="">
      <xdr:nvGraphicFramePr>
        <xdr:cNvPr id="3" name="Chart 2">
          <a:extLst>
            <a:ext uri="{FF2B5EF4-FFF2-40B4-BE49-F238E27FC236}">
              <a16:creationId xmlns:a16="http://schemas.microsoft.com/office/drawing/2014/main" id="{F2967250-9F48-46FA-AA59-B8F461B0F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28574</xdr:colOff>
      <xdr:row>27</xdr:row>
      <xdr:rowOff>180975</xdr:rowOff>
    </xdr:from>
    <xdr:to>
      <xdr:col>13</xdr:col>
      <xdr:colOff>333375</xdr:colOff>
      <xdr:row>44</xdr:row>
      <xdr:rowOff>28575</xdr:rowOff>
    </xdr:to>
    <xdr:graphicFrame macro="">
      <xdr:nvGraphicFramePr>
        <xdr:cNvPr id="4" name="Chart 3">
          <a:extLst>
            <a:ext uri="{FF2B5EF4-FFF2-40B4-BE49-F238E27FC236}">
              <a16:creationId xmlns:a16="http://schemas.microsoft.com/office/drawing/2014/main" id="{3F5639C4-1F44-45A7-BC47-85173CD58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ugoa\Downloads\Retail_Performance_Analysis_BI_Dashboard.xlsx" TargetMode="External"/><Relationship Id="rId1" Type="http://schemas.openxmlformats.org/officeDocument/2006/relationships/externalLinkPath" Target="file:///C:\Users\hugoa\Downloads\Retail_Performance_Analysis_BI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tail_sales_messy_dataset"/>
      <sheetName val="Raw_Data"/>
      <sheetName val="PT_Sales_by_Category"/>
      <sheetName val="PT_Sales_by_Region_Category"/>
      <sheetName val="PT_Profitability_Analysis"/>
      <sheetName val="Action_Plan"/>
      <sheetName val="Dashboard"/>
      <sheetName val="Practice_formulas"/>
    </sheetNames>
    <sheetDataSet>
      <sheetData sheetId="0"/>
      <sheetData sheetId="1"/>
      <sheetData sheetId="2"/>
      <sheetData sheetId="3"/>
      <sheetData sheetId="4"/>
      <sheetData sheetId="5"/>
      <sheetData sheetId="6">
        <row r="9">
          <cell r="C9" t="str">
            <v>Sales ($)</v>
          </cell>
          <cell r="I9" t="str">
            <v>Profit ($)</v>
          </cell>
        </row>
        <row r="10">
          <cell r="B10" t="str">
            <v>Technology</v>
          </cell>
          <cell r="C10">
            <v>22804.92</v>
          </cell>
          <cell r="H10" t="str">
            <v>Phones</v>
          </cell>
          <cell r="I10">
            <v>-7631.02</v>
          </cell>
        </row>
        <row r="11">
          <cell r="B11" t="str">
            <v>Furniture</v>
          </cell>
          <cell r="C11">
            <v>5508</v>
          </cell>
          <cell r="H11" t="str">
            <v>Copiers</v>
          </cell>
          <cell r="I11">
            <v>-8400</v>
          </cell>
        </row>
        <row r="12">
          <cell r="B12" t="str">
            <v>Office Supplies</v>
          </cell>
          <cell r="C12">
            <v>1947.06</v>
          </cell>
          <cell r="H12" t="str">
            <v>Appliances</v>
          </cell>
          <cell r="I12">
            <v>-936.9</v>
          </cell>
        </row>
        <row r="13">
          <cell r="H13" t="str">
            <v>Tables</v>
          </cell>
          <cell r="I13">
            <v>-896.44</v>
          </cell>
        </row>
        <row r="14">
          <cell r="H14" t="str">
            <v>Chairs</v>
          </cell>
          <cell r="I14">
            <v>-236.48</v>
          </cell>
        </row>
        <row r="15">
          <cell r="H15" t="str">
            <v>Storage</v>
          </cell>
          <cell r="I15">
            <v>-127.56</v>
          </cell>
        </row>
        <row r="16">
          <cell r="H16" t="str">
            <v>Machines</v>
          </cell>
          <cell r="I16">
            <v>749.99699999999996</v>
          </cell>
        </row>
        <row r="17">
          <cell r="H17" t="str">
            <v>Binders</v>
          </cell>
          <cell r="I17">
            <v>173.43</v>
          </cell>
        </row>
        <row r="18">
          <cell r="H18" t="str">
            <v>Paper</v>
          </cell>
          <cell r="I18">
            <v>21.91</v>
          </cell>
        </row>
        <row r="19">
          <cell r="H19" t="str">
            <v>Fasteners</v>
          </cell>
          <cell r="I19">
            <v>13.59</v>
          </cell>
        </row>
        <row r="28">
          <cell r="C28" t="str">
            <v>Sales ($)</v>
          </cell>
        </row>
        <row r="29">
          <cell r="B29" t="str">
            <v>Feb 2023</v>
          </cell>
          <cell r="C29">
            <v>59.99</v>
          </cell>
        </row>
        <row r="30">
          <cell r="B30" t="str">
            <v>Apr 2023</v>
          </cell>
          <cell r="C30">
            <v>876.49</v>
          </cell>
        </row>
        <row r="31">
          <cell r="B31" t="str">
            <v>May 2023</v>
          </cell>
          <cell r="C31">
            <v>66.14</v>
          </cell>
        </row>
        <row r="32">
          <cell r="B32" t="str">
            <v>Jun 2023</v>
          </cell>
          <cell r="C32">
            <v>28.97</v>
          </cell>
        </row>
        <row r="33">
          <cell r="B33" t="str">
            <v>Jul 2023</v>
          </cell>
          <cell r="C33">
            <v>6166.86</v>
          </cell>
        </row>
        <row r="34">
          <cell r="B34" t="str">
            <v>Aug 2023</v>
          </cell>
          <cell r="C34">
            <v>123.55</v>
          </cell>
        </row>
        <row r="35">
          <cell r="B35" t="str">
            <v>Sep 2023</v>
          </cell>
          <cell r="C35">
            <v>130.02000000000001</v>
          </cell>
        </row>
        <row r="36">
          <cell r="B36" t="str">
            <v>Oct 2023</v>
          </cell>
          <cell r="C36">
            <v>979.95</v>
          </cell>
        </row>
        <row r="37">
          <cell r="B37" t="str">
            <v>Nov 2023</v>
          </cell>
          <cell r="C37">
            <v>1015.68</v>
          </cell>
        </row>
        <row r="38">
          <cell r="B38" t="str">
            <v>Dec 2023</v>
          </cell>
          <cell r="C38">
            <v>1199.43</v>
          </cell>
        </row>
        <row r="39">
          <cell r="B39" t="str">
            <v>Apr 2024</v>
          </cell>
          <cell r="C39">
            <v>9496.51</v>
          </cell>
        </row>
        <row r="40">
          <cell r="B40" t="str">
            <v>May 2024</v>
          </cell>
          <cell r="C40">
            <v>38.94</v>
          </cell>
        </row>
        <row r="41">
          <cell r="B41" t="str">
            <v>Jun 2024</v>
          </cell>
          <cell r="C41">
            <v>963.29</v>
          </cell>
        </row>
        <row r="42">
          <cell r="B42" t="str">
            <v>Aug 2024</v>
          </cell>
          <cell r="C42">
            <v>835.8</v>
          </cell>
        </row>
        <row r="43">
          <cell r="B43" t="str">
            <v>Sep 2024</v>
          </cell>
          <cell r="C43">
            <v>1103.98</v>
          </cell>
        </row>
        <row r="44">
          <cell r="B44" t="str">
            <v>Oct 2024</v>
          </cell>
          <cell r="C44">
            <v>3168.28</v>
          </cell>
        </row>
        <row r="45">
          <cell r="B45" t="str">
            <v>Nov 2024</v>
          </cell>
          <cell r="C45">
            <v>103.92</v>
          </cell>
        </row>
        <row r="46">
          <cell r="B46" t="str">
            <v>Dec 2024</v>
          </cell>
          <cell r="C46">
            <v>3519.14</v>
          </cell>
        </row>
      </sheetData>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GO AGUILAR GALLARDO" refreshedDate="46065.593195138892" createdVersion="8" refreshedVersion="8" minRefreshableVersion="3" recordCount="46" xr:uid="{32359B84-74E4-474D-8A20-911415FA0C4D}">
  <cacheSource type="worksheet">
    <worksheetSource ref="A1:T47" sheet="retail_sales_messy_dataset"/>
  </cacheSource>
  <cacheFields count="21">
    <cacheField name="Order_ID" numFmtId="0">
      <sharedItems/>
    </cacheField>
    <cacheField name="Order Date" numFmtId="0">
      <sharedItems/>
    </cacheField>
    <cacheField name="Ship Date" numFmtId="0">
      <sharedItems/>
    </cacheField>
    <cacheField name="Ship_Mode" numFmtId="0">
      <sharedItems count="3">
        <s v="Second Class"/>
        <s v="Standard Class"/>
        <s v="First Class"/>
      </sharedItems>
    </cacheField>
    <cacheField name="customer_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024" maxValue="98115"/>
    </cacheField>
    <cacheField name="Region" numFmtId="0">
      <sharedItems count="4">
        <s v="South"/>
        <s v="West"/>
        <s v="East"/>
        <s v="Central"/>
      </sharedItems>
    </cacheField>
    <cacheField name="Product_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Paper"/>
        <s v="Binders"/>
        <s v="Appliances"/>
        <s v="Accessories"/>
        <s v="Fasteners"/>
        <s v="Envelopes"/>
        <s v="Copiers"/>
        <s v="Machines"/>
      </sharedItems>
    </cacheField>
    <cacheField name="Product Name" numFmtId="0">
      <sharedItems/>
    </cacheField>
    <cacheField name="Sales" numFmtId="0">
      <sharedItems containsMixedTypes="1" containsNumber="1" minValue="7.28" maxValue="4199.99"/>
    </cacheField>
    <cacheField name="Quantity" numFmtId="0">
      <sharedItems containsSemiMixedTypes="0" containsString="0" containsNumber="1" containsInteger="1" minValue="2" maxValue="8"/>
    </cacheField>
    <cacheField name="Discount" numFmtId="0">
      <sharedItems containsMixedTypes="1" containsNumber="1" minValue="0" maxValue="0.8"/>
    </cacheField>
    <cacheField name="Profit" numFmtId="0">
      <sharedItems containsMixedTypes="1" containsNumber="1" minValue="-3696.0965999999999" maxValue="749.99699999999996"/>
    </cacheField>
    <cacheField name="Profit_Margin" numFmtId="0" formula="Profit/Sales" databaseField="0"/>
  </cacheFields>
  <extLst>
    <ext xmlns:x14="http://schemas.microsoft.com/office/spreadsheetml/2009/9/main" uri="{725AE2AE-9491-48be-B2B4-4EB974FC3084}">
      <x14:pivotCacheDefinition pivotCacheId="352460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CA-2023-152156"/>
    <s v="11/08/2023"/>
    <s v="11/11/2023"/>
    <x v="0"/>
    <s v="CG-12520"/>
    <s v="Claire Gute"/>
    <x v="0"/>
    <s v="United States"/>
    <s v="Henderson"/>
    <s v="Kentucky"/>
    <n v="42420"/>
    <x v="0"/>
    <s v="FUR-BO-10001798"/>
    <x v="0"/>
    <x v="0"/>
    <s v="Bush Somerset Collection Bookcase"/>
    <n v="261.95999999999998"/>
    <n v="2"/>
    <n v="0"/>
    <n v="41.913600000000002"/>
  </r>
  <r>
    <s v="CA-2023-152156"/>
    <s v="11/08/2023"/>
    <s v="11/11/2023"/>
    <x v="0"/>
    <s v="CG-12520"/>
    <s v="Claire Gute"/>
    <x v="0"/>
    <s v="United States"/>
    <s v="Henderson"/>
    <s v="Kentucky"/>
    <n v="42420"/>
    <x v="0"/>
    <s v="FUR-CH-10000454"/>
    <x v="0"/>
    <x v="1"/>
    <s v="Hon Deluxe Fabric Upholstered Stacking Chairs"/>
    <n v="731.94"/>
    <n v="3"/>
    <n v="0"/>
    <n v="219.58199999999999"/>
  </r>
  <r>
    <s v="CA-2023-138688"/>
    <s v="06/12/2023"/>
    <s v=""/>
    <x v="1"/>
    <s v="DV-13045"/>
    <s v="Darrin Van Huff"/>
    <x v="1"/>
    <s v="United States"/>
    <s v="Los Angeles"/>
    <s v="California"/>
    <n v="90036"/>
    <x v="1"/>
    <s v="OFF-LA-10000240"/>
    <x v="1"/>
    <x v="2"/>
    <s v="Self-Adhesive Address Labels"/>
    <n v="14.62"/>
    <n v="2"/>
    <n v="0"/>
    <n v="6.8714000000000004"/>
  </r>
  <r>
    <s v="US-2023-108966"/>
    <s v="10/11/2023"/>
    <s v="10/18/2023"/>
    <x v="1"/>
    <s v="SO-20335"/>
    <s v="Sean O'Donnell"/>
    <x v="0"/>
    <s v="United States"/>
    <s v="Fort Lauderdale"/>
    <s v="Florida"/>
    <n v="33311"/>
    <x v="0"/>
    <s v="FUR-TA-10000577"/>
    <x v="0"/>
    <x v="3"/>
    <s v="Bretford CR4500 Series Slim Rectangular Table"/>
    <n v="957.57749999999999"/>
    <n v="5"/>
    <n v="0.45"/>
    <n v="-383.03100000000001"/>
  </r>
  <r>
    <s v="US-2023-108966"/>
    <s v="10/11/2023"/>
    <s v="10/18/2023"/>
    <x v="1"/>
    <s v="SO-20335"/>
    <s v="Sean O'Donnell"/>
    <x v="0"/>
    <s v="United States"/>
    <s v="Fort Lauderdale"/>
    <s v="Florida"/>
    <n v="33311"/>
    <x v="0"/>
    <s v="OFF-ST-10000760"/>
    <x v="1"/>
    <x v="4"/>
    <s v="Eldon Fold 'N Roll Cart System"/>
    <n v="22.367999999999999"/>
    <n v="2"/>
    <n v="0.2"/>
    <n v="2.5164"/>
  </r>
  <r>
    <s v="CA-2024-115812"/>
    <s v="06/09/2024"/>
    <s v="06/14/2024"/>
    <x v="1"/>
    <s v="BH-11710"/>
    <s v="Brosina Hoffman"/>
    <x v="0"/>
    <s v="United States"/>
    <s v="Los Angeles"/>
    <s v="California"/>
    <n v="90032"/>
    <x v="1"/>
    <s v="FUR-FU-10001487"/>
    <x v="0"/>
    <x v="5"/>
    <s v="Eldon Expressions Wood and Plastic Desk Accessories Cherry Wood"/>
    <n v="48.86"/>
    <n v="7"/>
    <n v="0"/>
    <n v="14.1694"/>
  </r>
  <r>
    <s v="CA-2024-115812"/>
    <s v="06/09/2024"/>
    <s v="06/14/2024"/>
    <x v="1"/>
    <s v="BH-11710"/>
    <s v="Brosina Hoffman"/>
    <x v="0"/>
    <s v="United States"/>
    <s v="Los Angeles"/>
    <s v="California"/>
    <n v="90032"/>
    <x v="1"/>
    <s v="OFF-AR-10002833"/>
    <x v="1"/>
    <x v="6"/>
    <s v="Newell 322"/>
    <n v="7.28"/>
    <n v="4"/>
    <n v="0"/>
    <n v="1.9656"/>
  </r>
  <r>
    <s v="CA-2024-115812"/>
    <s v="06/09/2024"/>
    <s v="06/14/2024"/>
    <x v="1"/>
    <s v="BH-11710"/>
    <s v="Brosina Hoffman"/>
    <x v="0"/>
    <s v="United States"/>
    <s v="Los Angeles"/>
    <s v="California"/>
    <n v="90032"/>
    <x v="1"/>
    <s v="TEC-PH-10002275"/>
    <x v="2"/>
    <x v="7"/>
    <s v="Mitel 5320 IP Phone VoIP phone"/>
    <n v="907.15200000000004"/>
    <n v="6"/>
    <n v="0.2"/>
    <n v="90.715199999999996"/>
  </r>
  <r>
    <s v="CA-2023-114412"/>
    <s v="04/15/2023"/>
    <s v="04/20/2023"/>
    <x v="1"/>
    <s v="AA-10480"/>
    <s v="Andrew Allen"/>
    <x v="0"/>
    <s v="United States"/>
    <s v="Concord"/>
    <s v="North Carolina"/>
    <n v="28027"/>
    <x v="0"/>
    <s v="OFF-PA-10002365"/>
    <x v="1"/>
    <x v="8"/>
    <s v="Xerox 1967"/>
    <n v="15.552"/>
    <n v="3"/>
    <n v="0.2"/>
    <n v="5.4432"/>
  </r>
  <r>
    <s v="CA-2023-114412"/>
    <s v="04/15/2023"/>
    <s v="04/20/2023"/>
    <x v="1"/>
    <s v="AA-10480"/>
    <s v="Andrew Allen"/>
    <x v="0"/>
    <s v="United States"/>
    <s v="Concord"/>
    <s v="North Carolina"/>
    <n v="28027"/>
    <x v="0"/>
    <s v="OFF-BI-10003910"/>
    <x v="1"/>
    <x v="9"/>
    <s v="Wilson Jones Custom Binder Spines &amp; Labels"/>
    <n v="407.976"/>
    <n v="3"/>
    <n v="0.2"/>
    <n v="132.59219999999999"/>
  </r>
  <r>
    <s v="CA-2023-119823"/>
    <s v="12/08/2023"/>
    <s v="12/12/2023"/>
    <x v="0"/>
    <s v="IM-15070"/>
    <s v="Irene Maddox"/>
    <x v="0"/>
    <s v="United States"/>
    <s v="Seattle"/>
    <s v="Washington"/>
    <n v="98103"/>
    <x v="1"/>
    <s v="OFF-AP-10002311"/>
    <x v="1"/>
    <x v="10"/>
    <s v="Belkin 325VA UPS Surge Protector 6 outlets 4 phone lines"/>
    <n v="68.81"/>
    <n v="5"/>
    <n v="0"/>
    <n v="15.362299999999999"/>
  </r>
  <r>
    <s v="CA-2023-119823"/>
    <s v="12/08/2023"/>
    <s v="12/12/2023"/>
    <x v="0"/>
    <s v="IM-15070"/>
    <s v="Irene Maddox"/>
    <x v="0"/>
    <s v="United States"/>
    <s v="Seattle"/>
    <s v="Washington"/>
    <n v="98103"/>
    <x v="1"/>
    <s v="FUR-FU-10000260"/>
    <x v="0"/>
    <x v="5"/>
    <s v="Ultra Door Holder Bright Silver, Finish"/>
    <n v="33.847999999999999"/>
    <n v="8"/>
    <n v="0.2"/>
    <n v="7.6449999999999996"/>
  </r>
  <r>
    <s v=""/>
    <s v="12/08/2023"/>
    <s v="12/12/2023"/>
    <x v="0"/>
    <s v="IM-15070"/>
    <s v="Irene Maddox"/>
    <x v="0"/>
    <s v="United States"/>
    <s v="Seattle"/>
    <s v="Washington"/>
    <n v="98103"/>
    <x v="1"/>
    <s v="FUR-TA-10001539"/>
    <x v="0"/>
    <x v="3"/>
    <s v="Chromcraft Bull-Nose Wood Oval Conference Tables &amp; Bases"/>
    <n v="1044"/>
    <n v="3"/>
    <n v="0.3"/>
    <n v="-277.14"/>
  </r>
  <r>
    <s v="US-2023-150630"/>
    <s v="09/14/2023"/>
    <s v="09/16/2023"/>
    <x v="2"/>
    <s v="KM-16375"/>
    <s v="Ken Marosh"/>
    <x v="0"/>
    <s v="United States"/>
    <s v="Detroit"/>
    <s v="Michigan"/>
    <m/>
    <x v="1"/>
    <s v="TEC-AC-10003832"/>
    <x v="2"/>
    <x v="11"/>
    <s v="Imation Secure+ Hardware Encrypted USB 2.0 Flash Drive 8GB"/>
    <n v="116.544"/>
    <n v="4"/>
    <n v="0"/>
    <n v="16.316199999999998"/>
  </r>
  <r>
    <s v="US-2023-150630"/>
    <s v="09/14/2023"/>
    <s v="09/16/2023"/>
    <x v="2"/>
    <s v="KM-16375"/>
    <s v="Ken Marosh"/>
    <x v="0"/>
    <s v="United States"/>
    <s v="Detroit"/>
    <s v="Michigan"/>
    <n v="48205"/>
    <x v="1"/>
    <s v="OFF-BI-10002309"/>
    <x v="1"/>
    <x v="9"/>
    <s v="Avery Durable Binders"/>
    <n v="13.48"/>
    <n v="7"/>
    <n v="0"/>
    <n v="4.1025999999999998"/>
  </r>
  <r>
    <s v="CA-2024-161389"/>
    <s v="12/05/2024"/>
    <s v="12/10/2024"/>
    <x v="1"/>
    <s v="##ERROR##"/>
    <s v="Sandra Flanagan"/>
    <x v="0"/>
    <s v="United States"/>
    <s v="Philadelphia"/>
    <s v="Pennsylvania"/>
    <n v="19140"/>
    <x v="2"/>
    <s v="FUR-CH-10002774"/>
    <x v="0"/>
    <x v="1"/>
    <s v="Global Value Mid-Back Manager's Chair Gray"/>
    <n v="213.11500000000001"/>
    <n v="3"/>
    <n v="0.45"/>
    <n v="-95.903999999999996"/>
  </r>
  <r>
    <s v="CA-2024-161389"/>
    <s v="12/05/2024"/>
    <s v="12/10/2024"/>
    <x v="1"/>
    <s v="SF-20065"/>
    <s v="Sandra Flanagan"/>
    <x v="0"/>
    <s v="United States"/>
    <s v="Philadelphia"/>
    <s v="Pennsylvania"/>
    <n v="19140"/>
    <x v="2"/>
    <s v="OFF-FA-10000304"/>
    <x v="1"/>
    <x v="12"/>
    <s v="Advantus Map Pennant Flags"/>
    <n v="16.5"/>
    <n v="5"/>
    <n v="0.2"/>
    <n v="5.94"/>
  </r>
  <r>
    <s v="CA-2024-143336"/>
    <s v="08/27/2024"/>
    <s v="09/01/2024"/>
    <x v="0"/>
    <s v="PO-19195"/>
    <s v="Pete O'Hara"/>
    <x v="0"/>
    <s v="United States"/>
    <s v="Fort Worth"/>
    <s v="Texas"/>
    <n v="76106"/>
    <x v="3"/>
    <s v="OFF-ST-10004186"/>
    <x v="1"/>
    <x v="4"/>
    <s v="Sauder Camden County Barrister Bookcase Planked Cherry Finish"/>
    <n v="440.98500000000001"/>
    <n v="3"/>
    <n v="0.35"/>
    <n v="-130.07474999999999"/>
  </r>
  <r>
    <s v="US-2023-156909"/>
    <s v="07/16/2023"/>
    <s v="07/18/2023"/>
    <x v="2"/>
    <s v="AG-10270"/>
    <s v="Alejandro Grove"/>
    <x v="0"/>
    <s v="United States"/>
    <s v="West Jordan"/>
    <s v="Utah"/>
    <n v="84084"/>
    <x v="1"/>
    <s v="TEC-PH-10004093"/>
    <x v="2"/>
    <x v="7"/>
    <s v="Cisco SPA 501G IP Phone"/>
    <n v="3083.43"/>
    <n v="7"/>
    <n v="0.4"/>
    <n v="-3696.0965999999999"/>
  </r>
  <r>
    <s v="US-2023-156909"/>
    <s v="07/16/2023"/>
    <s v="07/18/2023"/>
    <x v="2"/>
    <s v="AG-10270"/>
    <s v="Alejandro Grove"/>
    <x v="0"/>
    <s v="United States"/>
    <s v="West Jordan"/>
    <s v="Utah"/>
    <n v="84084"/>
    <x v="1"/>
    <s v="TEC-PH-10004093"/>
    <x v="2"/>
    <x v="7"/>
    <s v="Cisco SPA 501G IP Phone"/>
    <n v="3083.43"/>
    <n v="7"/>
    <n v="0.4"/>
    <n v="-3696.0965999999999"/>
  </r>
  <r>
    <s v="CA-2024-106320"/>
    <s v="09/25/2024"/>
    <s v="09/30/2024"/>
    <x v="1"/>
    <s v="ZD-21925"/>
    <s v="Zuschuss Donatelli"/>
    <x v="0"/>
    <s v="United States"/>
    <s v="San Francisco"/>
    <s v="California"/>
    <n v="94109"/>
    <x v="1"/>
    <s v="OFF-PA-10003177"/>
    <x v="1"/>
    <x v="8"/>
    <s v="Xerox 1952"/>
    <s v="NULL"/>
    <n v="4"/>
    <n v="0.8"/>
    <s v="NULL"/>
  </r>
  <r>
    <s v="CA-2024-106320"/>
    <s v="09/25/2024"/>
    <s v="09/30/2024"/>
    <x v="1"/>
    <s v="ZD-21925"/>
    <s v="Zuschuss Donatelli"/>
    <x v="0"/>
    <s v="United States"/>
    <s v="San Francisco"/>
    <s v="California"/>
    <n v="94109"/>
    <x v="1"/>
    <s v="TEC-PH-10003645"/>
    <x v="2"/>
    <x v="7"/>
    <s v="AT&amp;T CL2909"/>
    <n v="36.624000000000002"/>
    <n v="3"/>
    <n v="0.2"/>
    <n v="7.3247999999999998"/>
  </r>
  <r>
    <s v="US-2024-164175"/>
    <s v="04/30/2024"/>
    <s v="05/05/2024"/>
    <x v="1"/>
    <s v="KB-16585"/>
    <s v="Karl Braun"/>
    <x v="0"/>
    <s v="United States"/>
    <s v="Minneapolis"/>
    <s v="Minnesota"/>
    <n v="55407"/>
    <x v="3"/>
    <s v="FUR-TA-10003034"/>
    <x v="0"/>
    <x v="3"/>
    <s v="Bretford Rectangular Conference Table Tops"/>
    <n v="1096.5319999999999"/>
    <n v="2"/>
    <n v="0.4"/>
    <n v="-236.26689999999999"/>
  </r>
  <r>
    <s v="US-2024-118983"/>
    <s v="11/22/2024"/>
    <s v="11/26/2024"/>
    <x v="0"/>
    <s v="CC-12370"/>
    <s v="Clay Cheatham"/>
    <x v="0"/>
    <s v="United States"/>
    <s v="Detroit"/>
    <s v="Michigan"/>
    <n v="48219"/>
    <x v="3"/>
    <s v="OFF-AP-10001492"/>
    <x v="1"/>
    <x v="10"/>
    <s v="Acco 7-Outlet Masterpiece Power Center Wiht Phone Line Protection"/>
    <n v="103.92"/>
    <n v="4"/>
    <n v="0.2"/>
    <n v="22.413599999999999"/>
  </r>
  <r>
    <s v="CA-2023-105893"/>
    <s v="11/11/2023"/>
    <s v="11/18/2023"/>
    <x v="1"/>
    <s v="RH-19495"/>
    <s v="Rick Hansen"/>
    <x v="0"/>
    <s v="United States"/>
    <s v="New York City"/>
    <s v="New York"/>
    <n v="10024"/>
    <x v="2"/>
    <s v="TEC-AC-10001998"/>
    <x v="2"/>
    <x v="11"/>
    <s v="Imation USB 2.0 Mini Travel Drive USB Flash Drive"/>
    <n v="21.78"/>
    <n v="3"/>
    <n v="0"/>
    <n v="7.8246000000000002"/>
  </r>
  <r>
    <s v="CA-2023-167199"/>
    <s v="12/04/2023"/>
    <s v="12/09/2023"/>
    <x v="0"/>
    <s v="SM-20320"/>
    <s v="Sue McLaren"/>
    <x v="1"/>
    <s v="United States"/>
    <s v="San Antonio"/>
    <s v="Texas"/>
    <n v="78212"/>
    <x v="3"/>
    <s v="OFF-BI-10000474"/>
    <x v="1"/>
    <x v="9"/>
    <s v="Cardinal Slant-D Ring Binder Heavy Gauge Vinyl"/>
    <n v="52.776000000000003"/>
    <n v="3"/>
    <n v="0"/>
    <n v="19.499400000000001"/>
  </r>
  <r>
    <s v="CA-2023-143259"/>
    <s v="08/09/2023"/>
    <s v="08/13/2023"/>
    <x v="0"/>
    <s v="GM-14650"/>
    <s v="Grant Murray"/>
    <x v="2"/>
    <s v="United States"/>
    <s v="Chicago"/>
    <s v="Illinois"/>
    <n v="60623"/>
    <x v="3"/>
    <s v="OFF-EN-10002986"/>
    <x v="1"/>
    <x v="13"/>
    <s v="Staples White Wove Envelopes"/>
    <s v="NULL"/>
    <n v="7"/>
    <s v="NULL"/>
    <n v="-35.531999999999996"/>
  </r>
  <r>
    <s v="CA-2023-143259"/>
    <s v="08/09/2023"/>
    <s v="08/13/2023"/>
    <x v="0"/>
    <s v="GM-14650"/>
    <s v="Grant Murray"/>
    <x v="2"/>
    <s v="United States"/>
    <s v="Chicago"/>
    <s v="Illinois"/>
    <n v="60623"/>
    <x v="3"/>
    <s v="FUR-FU-10003799"/>
    <x v="0"/>
    <x v="5"/>
    <s v="Tenex Contemporary Contur Chairmats for Low and Medium Pile Carpet 36 x 48"/>
    <n v="123.55200000000001"/>
    <n v="6"/>
    <n v="0.2"/>
    <n v="34.5946"/>
  </r>
  <r>
    <s v="US-2024-150091"/>
    <s v="09/07/2024"/>
    <s v="09/11/2024"/>
    <x v="0"/>
    <s v="DB-13060"/>
    <s v="Denny Joy"/>
    <x v="0"/>
    <s v="United States"/>
    <s v="Jacksonville"/>
    <s v="Florida"/>
    <n v="32257"/>
    <x v="0"/>
    <s v="TEC-PH-10004960"/>
    <x v="2"/>
    <x v="7"/>
    <s v="Cisco SPA504G 4-Line IP Phone with 2-Port Switch PoE and LCD Display"/>
    <n v="1029.95"/>
    <n v="5"/>
    <n v="0.3"/>
    <n v="-514.97500000000002"/>
  </r>
  <r>
    <s v="US-2024-150091"/>
    <s v="09/07/2024"/>
    <s v="09/11/2024"/>
    <x v="0"/>
    <s v="DB-13060"/>
    <s v="Denny Joy"/>
    <x v="0"/>
    <s v="United States"/>
    <s v="Jacksonville"/>
    <s v="Florida"/>
    <n v="32257"/>
    <x v="0"/>
    <s v="OFF-PA-10000249"/>
    <x v="1"/>
    <x v="8"/>
    <s v="Xerox 1999"/>
    <n v="37.408000000000001"/>
    <n v="8"/>
    <n v="0.3"/>
    <n v="12.224600000000001"/>
  </r>
  <r>
    <s v="CA-2024-117590"/>
    <s v="12/08/2024"/>
    <s v="12/10/2024"/>
    <x v="2"/>
    <s v="JL-15835"/>
    <s v="justin longo"/>
    <x v="0"/>
    <s v="United States"/>
    <s v="Naperville"/>
    <s v="Illinois"/>
    <n v="60540"/>
    <x v="3"/>
    <s v="FUR-CH-10002960"/>
    <x v="0"/>
    <x v="1"/>
    <s v="Global Troy Executive Leather Low-Back Tilter"/>
    <n v="489.53199999999998"/>
    <n v="4"/>
    <n v="0.45"/>
    <n v="-146.8596"/>
  </r>
  <r>
    <s v="CA-2024-117590"/>
    <s v="12/08/2024"/>
    <s v="12/10/2024"/>
    <x v="2"/>
    <s v="JL-15835"/>
    <s v="justin longo"/>
    <x v="0"/>
    <s v="United States"/>
    <s v="Naperville"/>
    <s v="Illinois"/>
    <n v="60540"/>
    <x v="3"/>
    <s v="TEC-CO-10004722"/>
    <x v="2"/>
    <x v="14"/>
    <s v="Sharp AL-1530CS Digital Copier"/>
    <n v="2799.99"/>
    <n v="3"/>
    <n v="0.4"/>
    <n v="-3360"/>
  </r>
  <r>
    <s v="US-2023-146703"/>
    <s v="04/19/2023"/>
    <s v=""/>
    <x v="1"/>
    <s v="SH-20665"/>
    <s v="Shirley Daniels"/>
    <x v="0"/>
    <s v="United States"/>
    <s v="South Bend"/>
    <s v="Indiana"/>
    <n v="46614"/>
    <x v="3"/>
    <s v="FUR-CH-10002823"/>
    <x v="0"/>
    <x v="1"/>
    <s v="Global Troy Executive Leather Low-Back Tilter"/>
    <n v="426.58800000000002"/>
    <n v="7"/>
    <n v="0.45"/>
    <n v="-213.29400000000001"/>
  </r>
  <r>
    <s v="US-2023-146703"/>
    <s v="04/19/2023"/>
    <s v="04/26/2023"/>
    <x v="1"/>
    <s v="SH-20665"/>
    <s v="Shirley Daniels"/>
    <x v="0"/>
    <s v="United States"/>
    <s v="South Bend"/>
    <s v="Indiana"/>
    <n v="46614"/>
    <x v="3"/>
    <s v="OFF-FA-10004123"/>
    <x v="1"/>
    <x v="12"/>
    <s v="Quartet Cubicle Partition Hangers"/>
    <n v="26.376000000000001"/>
    <n v="6"/>
    <n v="0.2"/>
    <n v="7.649"/>
  </r>
  <r>
    <s v="CA-2023-138328"/>
    <s v="06/15/2023"/>
    <s v="06/20/2023"/>
    <x v="1"/>
    <s v="TC-20980"/>
    <s v="Toby Carlisle"/>
    <x v="1"/>
    <s v="United States"/>
    <s v="Portland"/>
    <s v="Oregon"/>
    <n v="97229"/>
    <x v="1"/>
    <s v="FUR-FU-10004848"/>
    <x v="0"/>
    <x v="5"/>
    <s v="Eldon Jumbo ProStack Desk Accessories Gray Smoke"/>
    <n v="14.352"/>
    <n v="4"/>
    <n v="0.2"/>
    <n v="4.3056000000000001"/>
  </r>
  <r>
    <s v="CA-2024-113258"/>
    <s v="10/24/2024"/>
    <s v="10/31/2024"/>
    <x v="1"/>
    <s v="DH-13150"/>
    <s v="Darrin Hendrix"/>
    <x v="0"/>
    <s v="United States"/>
    <s v="Seattle"/>
    <s v="Washington"/>
    <n v="98115"/>
    <x v="1"/>
    <s v="OFF-AP-10004424"/>
    <x v="1"/>
    <x v="10"/>
    <s v="Fellowes PB500 Electric Punch Plastic Comb Binding Machine with Manual Bind"/>
    <n v="649.78399999999999"/>
    <n v="8"/>
    <n v="0.5"/>
    <n v="-974.67600000000004"/>
  </r>
  <r>
    <s v="CA-2024-113258"/>
    <s v="10/24/2024"/>
    <s v="10/31/2024"/>
    <x v="1"/>
    <s v="DH-13150"/>
    <s v="Darrin Hendrix"/>
    <x v="0"/>
    <s v="United States"/>
    <s v="Seattle"/>
    <s v="Washington"/>
    <n v="98115"/>
    <x v="1"/>
    <s v="TEC-MA-10000822"/>
    <x v="2"/>
    <x v="15"/>
    <s v="Lexmark MX611dhe Monochrome Laser Printer"/>
    <n v="2499.9899999999998"/>
    <n v="3"/>
    <n v="0.2"/>
    <n v="749.99699999999996"/>
  </r>
  <r>
    <s v="CA-2023-135545"/>
    <s v="05/31/2023"/>
    <s v="06/03/2023"/>
    <x v="2"/>
    <s v="KT-16555"/>
    <s v="Katrina Trentini"/>
    <x v="0"/>
    <s v="United States"/>
    <s v="Richmond"/>
    <s v="Virginia"/>
    <n v="23173"/>
    <x v="0"/>
    <s v="FUR-FU-10004074"/>
    <x v="0"/>
    <x v="5"/>
    <s v="Eldon Mobile Utility Cart"/>
    <n v="66.144000000000005"/>
    <n v="6"/>
    <n v="0.2"/>
    <n v="12.3619"/>
  </r>
  <r>
    <s v="CA-2024-150965"/>
    <s v="10/05/2024"/>
    <s v="10/10/2024"/>
    <x v="1"/>
    <s v="LC-17050"/>
    <s v="Lena Cacioppo"/>
    <x v="0"/>
    <s v="United States"/>
    <s v="Philadelphia"/>
    <s v="Pennsylvania"/>
    <n v="19120"/>
    <x v="2"/>
    <s v="OFF-BI-10004654"/>
    <x v="1"/>
    <x v="9"/>
    <s v="Cardinal Slant-D Ring Binder Heavy Gauge Vinyl"/>
    <n v="18.504000000000001"/>
    <n v="3"/>
    <n v="0.2"/>
    <n v="5.5511999999999997"/>
  </r>
  <r>
    <s v="US-2024-144568"/>
    <s v="04/18/2024"/>
    <s v="04/24/2024"/>
    <x v="1"/>
    <s v="PE-18865"/>
    <s v="Patrick Ellison"/>
    <x v="0"/>
    <s v="United States"/>
    <s v="Sioux Falls"/>
    <s v="South Dakota"/>
    <n v="57104"/>
    <x v="3"/>
    <s v="TEC-CO-10001047"/>
    <x v="2"/>
    <x v="14"/>
    <s v="Canon PC1080F Personal Copier"/>
    <n v="4199.99"/>
    <n v="5"/>
    <n v="0.4"/>
    <n v="-2520"/>
  </r>
  <r>
    <s v="DUPLICATE_ROW"/>
    <s v="04/18/2024"/>
    <s v="04/24/2024"/>
    <x v="1"/>
    <s v="PE-18865"/>
    <s v="Patrick Ellison"/>
    <x v="0"/>
    <s v="United States"/>
    <s v="Sioux Falls"/>
    <s v="South Dakota"/>
    <n v="57104"/>
    <x v="3"/>
    <s v="TEC-CO-10001047"/>
    <x v="2"/>
    <x v="14"/>
    <s v="Canon PC1080F Personal Copier"/>
    <n v="4199.99"/>
    <n v="5"/>
    <n v="0.4"/>
    <n v="-2520"/>
  </r>
  <r>
    <s v="CA-2023-105620"/>
    <s v="02/11/2023"/>
    <s v="02/17/2023"/>
    <x v="1"/>
    <s v="AG-10675"/>
    <s v="Anthony Garverick"/>
    <x v="0"/>
    <s v="United States"/>
    <s v="Seattle"/>
    <s v="Washington"/>
    <n v="98103"/>
    <x v="1"/>
    <s v="TEC-PH-10003988"/>
    <x v="2"/>
    <x v="7"/>
    <s v="Motorola Talkabout T8500 and T9500"/>
    <n v="59.99"/>
    <n v="2"/>
    <n v="0.1"/>
    <n v="24.895900000000001"/>
  </r>
  <r>
    <s v="CA-2024-167785"/>
    <s v="05/13/2024"/>
    <s v="05/18/2024"/>
    <x v="1"/>
    <s v="EC-12145"/>
    <s v="Eric Barreto"/>
    <x v="0"/>
    <s v="United States"/>
    <s v="Gary"/>
    <s v="Indiana"/>
    <n v="46402"/>
    <x v="3"/>
    <s v="OFF-BI-10001525"/>
    <x v="1"/>
    <x v="9"/>
    <s v="GBC Prepunched Paper 19-Hole Letter Size"/>
    <n v="38.94"/>
    <n v="3"/>
    <n v="0.2"/>
    <n v="11.682"/>
  </r>
  <r>
    <s v="CA-2024-143982"/>
    <s v="08/27/2024"/>
    <s v="09/01/2024"/>
    <x v="1"/>
    <s v="TB-21175"/>
    <s v="Tracy Blumstein"/>
    <x v="0"/>
    <s v="United States"/>
    <s v="Jacksonville"/>
    <s v="Florida"/>
    <n v="32256"/>
    <x v="0"/>
    <s v="OFF-PA-10001970"/>
    <x v="1"/>
    <x v="8"/>
    <s v="Xerox 1916"/>
    <n v="11.784000000000001"/>
    <n v="2"/>
    <n v="0.2"/>
    <n v="4.2426000000000004"/>
  </r>
  <r>
    <s v="CA-2024-143982"/>
    <s v="08/27/2024"/>
    <s v="09/01/2024"/>
    <x v="1"/>
    <s v="TB-21175"/>
    <s v="Tracy Blumstein"/>
    <x v="0"/>
    <s v="United States"/>
    <s v="Jacksonville"/>
    <s v="Florida"/>
    <n v="32256"/>
    <x v="0"/>
    <s v="TEC-PH-10001949"/>
    <x v="2"/>
    <x v="7"/>
    <s v="Cisco 7961G IP Phone VoIP phone"/>
    <n v="383.02800000000002"/>
    <n v="3"/>
    <n v="0.2"/>
    <n v="76.605599999999995"/>
  </r>
  <r>
    <s v="INVALID_DATA"/>
    <s v="INVALID_DATE"/>
    <s v="09/01/2024"/>
    <x v="1"/>
    <s v="INVALID_ID"/>
    <s v="INVALID NAME"/>
    <x v="0"/>
    <s v="United States"/>
    <s v="INVALID_CITY"/>
    <s v="Florida"/>
    <n v="32256"/>
    <x v="0"/>
    <s v="TEC-PH-10001949"/>
    <x v="2"/>
    <x v="7"/>
    <s v="Cisco 7961G IP Phone VoIP phone"/>
    <n v="383.02800000000002"/>
    <n v="3"/>
    <n v="0.2"/>
    <n v="76.6055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FE112-630C-479F-9EAB-22233EF6CA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sd="0" x="0"/>
        <item sd="0" x="1"/>
        <item sd="0" x="2"/>
        <item t="default"/>
      </items>
      <autoSortScope>
        <pivotArea dataOnly="0" outline="0" fieldPosition="0">
          <references count="1">
            <reference field="4294967294" count="1" selected="0">
              <x v="0"/>
            </reference>
          </references>
        </pivotArea>
      </autoSortScope>
    </pivotField>
    <pivotField showAll="0"/>
    <pivotField showAll="0"/>
    <pivotField dataField="1" showAll="0" sumSubtotal="1"/>
    <pivotField showAll="0"/>
    <pivotField showAll="0"/>
    <pivotField showAll="0"/>
    <pivotField dragToRow="0" dragToCol="0" dragToPage="0" showAll="0" defaultSubtotal="0"/>
  </pivotFields>
  <rowFields count="1">
    <field x="13"/>
  </rowFields>
  <rowItems count="4">
    <i>
      <x v="2"/>
    </i>
    <i>
      <x/>
    </i>
    <i>
      <x v="1"/>
    </i>
    <i t="grand">
      <x/>
    </i>
  </rowItems>
  <colItems count="1">
    <i/>
  </colItems>
  <dataFields count="1">
    <dataField name="Sum of Sales" fld="16" baseField="13" baseItem="0" numFmtId="164"/>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8BD270-B7DC-4C16-B486-A8B40174F9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21">
    <pivotField showAll="0"/>
    <pivotField showAll="0"/>
    <pivotField showAll="0"/>
    <pivotField showAll="0">
      <items count="4">
        <item x="2"/>
        <item h="1" x="0"/>
        <item h="1" x="1"/>
        <item t="default"/>
      </items>
    </pivotField>
    <pivotField showAll="0"/>
    <pivotField showAll="0"/>
    <pivotField showAll="0">
      <items count="4">
        <item x="0"/>
        <item h="1" x="1"/>
        <item h="1" x="2"/>
        <item t="default"/>
      </items>
    </pivotField>
    <pivotField showAll="0"/>
    <pivotField showAll="0"/>
    <pivotField showAll="0"/>
    <pivotField showAll="0"/>
    <pivotField axis="axisRow" showAll="0">
      <items count="5">
        <item x="3"/>
        <item x="2"/>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1"/>
  </rowFields>
  <rowItems count="4">
    <i>
      <x/>
    </i>
    <i>
      <x v="2"/>
    </i>
    <i>
      <x v="3"/>
    </i>
    <i t="grand">
      <x/>
    </i>
  </rowItems>
  <colFields count="1">
    <field x="13"/>
  </colFields>
  <colItems count="4">
    <i>
      <x/>
    </i>
    <i>
      <x v="1"/>
    </i>
    <i>
      <x v="2"/>
    </i>
    <i t="grand">
      <x/>
    </i>
  </colItems>
  <dataFields count="1">
    <dataField name="Sum of Sales" fld="16" baseField="11"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51FC4-3D54-43FD-B778-A23CF9E44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23"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axis="axisRow" showAll="0" sortType="ascending">
      <items count="17">
        <item x="11"/>
        <item x="10"/>
        <item x="6"/>
        <item x="9"/>
        <item x="0"/>
        <item x="1"/>
        <item x="14"/>
        <item x="13"/>
        <item x="12"/>
        <item x="5"/>
        <item x="2"/>
        <item x="15"/>
        <item x="8"/>
        <item x="7"/>
        <item x="4"/>
        <item x="3"/>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showAll="0"/>
    <pivotField dataField="1" showAll="0"/>
    <pivotField dataField="1" dragToRow="0" dragToCol="0" dragToPage="0" showAll="0" defaultSubtotal="0"/>
  </pivotFields>
  <rowFields count="2">
    <field x="13"/>
    <field x="14"/>
  </rowFields>
  <rowItems count="20">
    <i>
      <x/>
    </i>
    <i r="1">
      <x v="13"/>
    </i>
    <i r="1">
      <x v="6"/>
    </i>
    <i r="1">
      <x/>
    </i>
    <i r="1">
      <x v="11"/>
    </i>
    <i>
      <x v="1"/>
    </i>
    <i r="1">
      <x v="1"/>
    </i>
    <i r="1">
      <x v="14"/>
    </i>
    <i r="1">
      <x v="2"/>
    </i>
    <i r="1">
      <x v="8"/>
    </i>
    <i r="1">
      <x v="3"/>
    </i>
    <i r="1">
      <x v="12"/>
    </i>
    <i r="1">
      <x v="10"/>
    </i>
    <i r="1">
      <x v="7"/>
    </i>
    <i>
      <x v="2"/>
    </i>
    <i r="1">
      <x v="15"/>
    </i>
    <i r="1">
      <x v="5"/>
    </i>
    <i r="1">
      <x v="4"/>
    </i>
    <i r="1">
      <x v="9"/>
    </i>
    <i t="grand">
      <x/>
    </i>
  </rowItems>
  <colFields count="1">
    <field x="-2"/>
  </colFields>
  <colItems count="3">
    <i>
      <x/>
    </i>
    <i i="1">
      <x v="1"/>
    </i>
    <i i="2">
      <x v="2"/>
    </i>
  </colItems>
  <dataFields count="3">
    <dataField name="Sum of Sales" fld="16" baseField="13" baseItem="0"/>
    <dataField name="Sum of Profit" fld="19" baseField="13" baseItem="0"/>
    <dataField name="Sum of Profit_Margin" fld="20" baseField="14" baseItem="7"/>
  </dataFields>
  <formats count="2">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5">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pivotArea type="data" outline="0" fieldPosition="0">
        <references count="3">
          <reference field="4294967294" count="1" selected="0">
            <x v="1"/>
          </reference>
          <reference field="13" count="1" selected="0">
            <x v="0"/>
          </reference>
          <reference field="14" count="1" selected="0">
            <x v="6"/>
          </reference>
        </references>
      </pivotArea>
    </chartFormat>
    <chartFormat chart="13" format="4">
      <pivotArea type="data" outline="0" fieldPosition="0">
        <references count="3">
          <reference field="4294967294" count="1" selected="0">
            <x v="1"/>
          </reference>
          <reference field="13" count="1" selected="0">
            <x v="0"/>
          </reference>
          <reference field="14" count="1" selected="0">
            <x v="1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C5D3C42-ACAD-49E9-8ABD-0EA21CA61A54}" sourceName="Ship_Mode">
  <pivotTables>
    <pivotTable tabId="7" name="PivotTable2"/>
  </pivotTables>
  <data>
    <tabular pivotCacheId="352460929">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03E8CF1-51FB-414B-A469-87FBA70A5E72}" sourceName="Segment">
  <pivotTables>
    <pivotTable tabId="7" name="PivotTable2"/>
  </pivotTables>
  <data>
    <tabular pivotCacheId="352460929">
      <items count="3">
        <i x="0" s="1"/>
        <i x="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D54AFB3D-4BBC-49C0-913C-1601A7353039}" cache="Slicer_Ship_Mode" caption="Ship_Mode" rowHeight="241300"/>
  <slicer name="Segment" xr10:uid="{3FEBBC0C-7CF2-41E5-B520-C81566605094}"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E501DB-EF05-4D0E-B631-21BF2301A21D}" name="Raw_Data" displayName="Raw_Data" ref="A1:T47" totalsRowShown="0" dataDxfId="22">
  <autoFilter ref="A1:T47" xr:uid="{F2E501DB-EF05-4D0E-B631-21BF2301A21D}"/>
  <tableColumns count="20">
    <tableColumn id="1" xr3:uid="{0F06FB3A-F2A4-44B5-AA80-B384A8528D20}" name="Order_ID" dataDxfId="21"/>
    <tableColumn id="2" xr3:uid="{090A1F69-F55D-4BAC-9A41-B46D254B991D}" name="Order Date" dataDxfId="20"/>
    <tableColumn id="3" xr3:uid="{3C74D4EC-0062-4895-AB8D-E505B9018F4B}" name="Ship Date" dataDxfId="19"/>
    <tableColumn id="4" xr3:uid="{4F6EEF5B-AF13-4A80-93AB-FFFA808A7C36}" name="Ship_Mode" dataDxfId="18"/>
    <tableColumn id="5" xr3:uid="{5BF9A419-9BA6-4034-BC5F-05ED9460E14F}" name="customer_id" dataDxfId="17"/>
    <tableColumn id="6" xr3:uid="{3C5C1069-DD85-4EB3-ACBB-A6471D527DD8}" name="Customer Name" dataDxfId="16"/>
    <tableColumn id="7" xr3:uid="{F068BCCD-40FF-4D24-8B22-8A841A8BCA03}" name="Segment" dataDxfId="15"/>
    <tableColumn id="8" xr3:uid="{E0F6368E-2ECE-4C3B-A518-CA74F0317D80}" name="Country" dataDxfId="14"/>
    <tableColumn id="9" xr3:uid="{F33DEDCF-BDDA-4852-AECB-98682376F4ED}" name="City" dataDxfId="13"/>
    <tableColumn id="10" xr3:uid="{933C659B-324F-4348-A62F-C4C17BE801D5}" name="State" dataDxfId="12"/>
    <tableColumn id="11" xr3:uid="{3B313AA3-DB47-46A2-93DB-6A3380CABBB8}" name="Postal Code" dataDxfId="11"/>
    <tableColumn id="12" xr3:uid="{65D42528-C4E0-4B47-814A-BEACB30B445F}" name="Region" dataDxfId="10"/>
    <tableColumn id="13" xr3:uid="{E0F0E463-BA09-4847-BE0F-EADF5DBFC6E7}" name="Product_ID" dataDxfId="9"/>
    <tableColumn id="14" xr3:uid="{7B2229D7-32B6-460F-8A94-A7FDCDB02CCB}" name="Category" dataDxfId="8"/>
    <tableColumn id="15" xr3:uid="{55D251FF-D0DF-4531-8991-A521E49764C0}" name="Sub-Category" dataDxfId="7"/>
    <tableColumn id="16" xr3:uid="{D6C2A150-8314-4038-A0E1-F1E0D86C69C6}" name="Product Name" dataDxfId="6"/>
    <tableColumn id="17" xr3:uid="{42BD35DB-FA29-401B-A215-00BDC3900EDE}" name="Sales" dataDxfId="5" dataCellStyle="Currency"/>
    <tableColumn id="18" xr3:uid="{83C1CC52-E32D-4216-BED4-D9C52891A541}" name="Quantity" dataDxfId="4"/>
    <tableColumn id="19" xr3:uid="{7BC7FFB0-E46F-42C6-ABBF-53FF121BE56B}" name="Discount" dataDxfId="3"/>
    <tableColumn id="20" xr3:uid="{61356A53-63FF-4D51-B2B7-71D6F4DCA9AF}" name="Profi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9F29-C64C-47E3-ACE9-9007014F9FE0}">
  <dimension ref="A1:T47"/>
  <sheetViews>
    <sheetView workbookViewId="0">
      <selection activeCell="E7" sqref="E7"/>
    </sheetView>
  </sheetViews>
  <sheetFormatPr defaultRowHeight="15" x14ac:dyDescent="0.25"/>
  <cols>
    <col min="1" max="1" width="16.140625" bestFit="1" customWidth="1"/>
    <col min="2" max="2" width="14" bestFit="1" customWidth="1"/>
    <col min="3" max="3" width="11.7109375" bestFit="1" customWidth="1"/>
    <col min="4" max="4" width="13.85546875" bestFit="1" customWidth="1"/>
    <col min="5" max="5" width="14.28515625" bestFit="1" customWidth="1"/>
    <col min="6" max="6" width="17.7109375" bestFit="1" customWidth="1"/>
    <col min="7" max="7" width="12.140625" bestFit="1" customWidth="1"/>
    <col min="8" max="8" width="12.85546875" bestFit="1" customWidth="1"/>
    <col min="9" max="9" width="15" bestFit="1" customWidth="1"/>
    <col min="10" max="10" width="14"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72.42578125" bestFit="1" customWidth="1"/>
    <col min="17" max="17" width="11.5703125" style="8" customWidth="1"/>
    <col min="18" max="19" width="11" bestFit="1" customWidth="1"/>
    <col min="20" max="20" width="10.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s="8" t="s">
        <v>16</v>
      </c>
      <c r="R1" t="s">
        <v>17</v>
      </c>
      <c r="S1" t="s">
        <v>18</v>
      </c>
      <c r="T1" t="s">
        <v>19</v>
      </c>
    </row>
    <row r="2" spans="1:20" x14ac:dyDescent="0.25">
      <c r="A2" t="s">
        <v>20</v>
      </c>
      <c r="B2" t="s">
        <v>21</v>
      </c>
      <c r="C2" t="s">
        <v>22</v>
      </c>
      <c r="D2" t="s">
        <v>23</v>
      </c>
      <c r="E2" t="s">
        <v>24</v>
      </c>
      <c r="F2" t="s">
        <v>25</v>
      </c>
      <c r="G2" t="s">
        <v>26</v>
      </c>
      <c r="H2" t="s">
        <v>27</v>
      </c>
      <c r="I2" t="s">
        <v>28</v>
      </c>
      <c r="J2" t="s">
        <v>29</v>
      </c>
      <c r="K2">
        <v>42420</v>
      </c>
      <c r="L2" t="s">
        <v>30</v>
      </c>
      <c r="M2" t="s">
        <v>31</v>
      </c>
      <c r="N2" t="s">
        <v>32</v>
      </c>
      <c r="O2" t="s">
        <v>33</v>
      </c>
      <c r="P2" t="s">
        <v>34</v>
      </c>
      <c r="Q2" s="9">
        <v>261.95999999999998</v>
      </c>
      <c r="R2">
        <v>2</v>
      </c>
      <c r="S2">
        <v>0</v>
      </c>
      <c r="T2">
        <v>41.913600000000002</v>
      </c>
    </row>
    <row r="3" spans="1:20" x14ac:dyDescent="0.25">
      <c r="A3" t="s">
        <v>20</v>
      </c>
      <c r="B3" t="s">
        <v>21</v>
      </c>
      <c r="C3" t="s">
        <v>22</v>
      </c>
      <c r="D3" t="s">
        <v>23</v>
      </c>
      <c r="E3" t="s">
        <v>24</v>
      </c>
      <c r="F3" t="s">
        <v>25</v>
      </c>
      <c r="G3" t="s">
        <v>26</v>
      </c>
      <c r="H3" t="s">
        <v>27</v>
      </c>
      <c r="I3" t="s">
        <v>28</v>
      </c>
      <c r="J3" t="s">
        <v>29</v>
      </c>
      <c r="K3">
        <v>42420</v>
      </c>
      <c r="L3" t="s">
        <v>30</v>
      </c>
      <c r="M3" t="s">
        <v>38</v>
      </c>
      <c r="N3" t="s">
        <v>32</v>
      </c>
      <c r="O3" t="s">
        <v>39</v>
      </c>
      <c r="P3" t="s">
        <v>40</v>
      </c>
      <c r="Q3" s="9">
        <v>731.94</v>
      </c>
      <c r="R3">
        <v>3</v>
      </c>
      <c r="S3">
        <v>0</v>
      </c>
      <c r="T3">
        <v>219.58199999999999</v>
      </c>
    </row>
    <row r="4" spans="1:20" x14ac:dyDescent="0.25">
      <c r="A4" t="s">
        <v>42</v>
      </c>
      <c r="B4" t="s">
        <v>43</v>
      </c>
      <c r="C4" t="s">
        <v>44</v>
      </c>
      <c r="D4" t="s">
        <v>45</v>
      </c>
      <c r="E4" t="s">
        <v>46</v>
      </c>
      <c r="F4" t="s">
        <v>47</v>
      </c>
      <c r="G4" t="s">
        <v>48</v>
      </c>
      <c r="H4" t="s">
        <v>27</v>
      </c>
      <c r="I4" t="s">
        <v>49</v>
      </c>
      <c r="J4" t="s">
        <v>50</v>
      </c>
      <c r="K4">
        <v>90036</v>
      </c>
      <c r="L4" t="s">
        <v>51</v>
      </c>
      <c r="M4" t="s">
        <v>52</v>
      </c>
      <c r="N4" t="s">
        <v>53</v>
      </c>
      <c r="O4" t="s">
        <v>54</v>
      </c>
      <c r="P4" t="s">
        <v>55</v>
      </c>
      <c r="Q4" s="9">
        <v>14.62</v>
      </c>
      <c r="R4">
        <v>2</v>
      </c>
      <c r="S4">
        <v>0</v>
      </c>
      <c r="T4">
        <v>6.8714000000000004</v>
      </c>
    </row>
    <row r="5" spans="1:20" x14ac:dyDescent="0.25">
      <c r="A5" t="s">
        <v>58</v>
      </c>
      <c r="B5" t="s">
        <v>59</v>
      </c>
      <c r="C5" t="s">
        <v>60</v>
      </c>
      <c r="D5" t="s">
        <v>45</v>
      </c>
      <c r="E5" t="s">
        <v>61</v>
      </c>
      <c r="F5" t="s">
        <v>62</v>
      </c>
      <c r="G5" t="s">
        <v>26</v>
      </c>
      <c r="H5" t="s">
        <v>27</v>
      </c>
      <c r="I5" t="s">
        <v>63</v>
      </c>
      <c r="J5" t="s">
        <v>64</v>
      </c>
      <c r="K5">
        <v>33311</v>
      </c>
      <c r="L5" t="s">
        <v>30</v>
      </c>
      <c r="M5" t="s">
        <v>65</v>
      </c>
      <c r="N5" t="s">
        <v>32</v>
      </c>
      <c r="O5" t="s">
        <v>66</v>
      </c>
      <c r="P5" t="s">
        <v>67</v>
      </c>
      <c r="Q5" s="9">
        <v>957.57749999999999</v>
      </c>
      <c r="R5">
        <v>5</v>
      </c>
      <c r="S5">
        <v>0.45</v>
      </c>
      <c r="T5">
        <v>-383.03100000000001</v>
      </c>
    </row>
    <row r="6" spans="1:20" x14ac:dyDescent="0.25">
      <c r="A6" t="s">
        <v>58</v>
      </c>
      <c r="B6" t="s">
        <v>59</v>
      </c>
      <c r="C6" t="s">
        <v>60</v>
      </c>
      <c r="D6" t="s">
        <v>45</v>
      </c>
      <c r="E6" t="s">
        <v>61</v>
      </c>
      <c r="F6" t="s">
        <v>62</v>
      </c>
      <c r="G6" t="s">
        <v>26</v>
      </c>
      <c r="H6" t="s">
        <v>27</v>
      </c>
      <c r="I6" t="s">
        <v>63</v>
      </c>
      <c r="J6" t="s">
        <v>64</v>
      </c>
      <c r="K6">
        <v>33311</v>
      </c>
      <c r="L6" t="s">
        <v>30</v>
      </c>
      <c r="M6" t="s">
        <v>71</v>
      </c>
      <c r="N6" t="s">
        <v>53</v>
      </c>
      <c r="O6" t="s">
        <v>72</v>
      </c>
      <c r="P6" t="s">
        <v>73</v>
      </c>
      <c r="Q6" s="9">
        <v>22.367999999999999</v>
      </c>
      <c r="R6">
        <v>2</v>
      </c>
      <c r="S6">
        <v>0.2</v>
      </c>
      <c r="T6">
        <v>2.5164</v>
      </c>
    </row>
    <row r="7" spans="1:20" x14ac:dyDescent="0.25">
      <c r="A7" t="s">
        <v>77</v>
      </c>
      <c r="B7" t="s">
        <v>78</v>
      </c>
      <c r="C7" t="s">
        <v>79</v>
      </c>
      <c r="D7" t="s">
        <v>45</v>
      </c>
      <c r="E7" t="s">
        <v>80</v>
      </c>
      <c r="F7" t="s">
        <v>81</v>
      </c>
      <c r="G7" t="s">
        <v>26</v>
      </c>
      <c r="H7" t="s">
        <v>27</v>
      </c>
      <c r="I7" t="s">
        <v>49</v>
      </c>
      <c r="J7" t="s">
        <v>50</v>
      </c>
      <c r="K7">
        <v>90032</v>
      </c>
      <c r="L7" t="s">
        <v>51</v>
      </c>
      <c r="M7" t="s">
        <v>82</v>
      </c>
      <c r="N7" t="s">
        <v>32</v>
      </c>
      <c r="O7" t="s">
        <v>83</v>
      </c>
      <c r="P7" t="s">
        <v>84</v>
      </c>
      <c r="Q7" s="9">
        <v>48.86</v>
      </c>
      <c r="R7">
        <v>7</v>
      </c>
      <c r="S7">
        <v>0</v>
      </c>
      <c r="T7">
        <v>14.1694</v>
      </c>
    </row>
    <row r="8" spans="1:20" x14ac:dyDescent="0.25">
      <c r="A8" t="s">
        <v>77</v>
      </c>
      <c r="B8" t="s">
        <v>78</v>
      </c>
      <c r="C8" t="s">
        <v>79</v>
      </c>
      <c r="D8" t="s">
        <v>45</v>
      </c>
      <c r="E8" t="s">
        <v>80</v>
      </c>
      <c r="F8" t="s">
        <v>81</v>
      </c>
      <c r="G8" t="s">
        <v>26</v>
      </c>
      <c r="H8" t="s">
        <v>27</v>
      </c>
      <c r="I8" t="s">
        <v>49</v>
      </c>
      <c r="J8" t="s">
        <v>50</v>
      </c>
      <c r="K8">
        <v>90032</v>
      </c>
      <c r="L8" t="s">
        <v>51</v>
      </c>
      <c r="M8" t="s">
        <v>87</v>
      </c>
      <c r="N8" t="s">
        <v>53</v>
      </c>
      <c r="O8" t="s">
        <v>88</v>
      </c>
      <c r="P8" t="s">
        <v>89</v>
      </c>
      <c r="Q8" s="9">
        <v>7.28</v>
      </c>
      <c r="R8">
        <v>4</v>
      </c>
      <c r="S8">
        <v>0</v>
      </c>
      <c r="T8">
        <v>1.9656</v>
      </c>
    </row>
    <row r="9" spans="1:20" x14ac:dyDescent="0.25">
      <c r="A9" t="s">
        <v>77</v>
      </c>
      <c r="B9" t="s">
        <v>78</v>
      </c>
      <c r="C9" t="s">
        <v>79</v>
      </c>
      <c r="D9" t="s">
        <v>45</v>
      </c>
      <c r="E9" t="s">
        <v>80</v>
      </c>
      <c r="F9" t="s">
        <v>81</v>
      </c>
      <c r="G9" t="s">
        <v>26</v>
      </c>
      <c r="H9" t="s">
        <v>27</v>
      </c>
      <c r="I9" t="s">
        <v>49</v>
      </c>
      <c r="J9" t="s">
        <v>50</v>
      </c>
      <c r="K9">
        <v>90032</v>
      </c>
      <c r="L9" t="s">
        <v>51</v>
      </c>
      <c r="M9" t="s">
        <v>92</v>
      </c>
      <c r="N9" t="s">
        <v>93</v>
      </c>
      <c r="O9" t="s">
        <v>94</v>
      </c>
      <c r="P9" t="s">
        <v>95</v>
      </c>
      <c r="Q9" s="9">
        <v>907.15200000000004</v>
      </c>
      <c r="R9">
        <v>6</v>
      </c>
      <c r="S9">
        <v>0.2</v>
      </c>
      <c r="T9">
        <v>90.715199999999996</v>
      </c>
    </row>
    <row r="10" spans="1:20" x14ac:dyDescent="0.25">
      <c r="A10" t="s">
        <v>98</v>
      </c>
      <c r="B10" t="s">
        <v>99</v>
      </c>
      <c r="C10" t="s">
        <v>100</v>
      </c>
      <c r="D10" t="s">
        <v>45</v>
      </c>
      <c r="E10" t="s">
        <v>101</v>
      </c>
      <c r="F10" t="s">
        <v>102</v>
      </c>
      <c r="G10" t="s">
        <v>26</v>
      </c>
      <c r="H10" t="s">
        <v>27</v>
      </c>
      <c r="I10" t="s">
        <v>103</v>
      </c>
      <c r="J10" t="s">
        <v>104</v>
      </c>
      <c r="K10">
        <v>28027</v>
      </c>
      <c r="L10" t="s">
        <v>30</v>
      </c>
      <c r="M10" t="s">
        <v>105</v>
      </c>
      <c r="N10" t="s">
        <v>53</v>
      </c>
      <c r="O10" t="s">
        <v>106</v>
      </c>
      <c r="P10" t="s">
        <v>107</v>
      </c>
      <c r="Q10" s="9">
        <v>15.552</v>
      </c>
      <c r="R10">
        <v>3</v>
      </c>
      <c r="S10">
        <v>0.2</v>
      </c>
      <c r="T10">
        <v>5.4432</v>
      </c>
    </row>
    <row r="11" spans="1:20" x14ac:dyDescent="0.25">
      <c r="A11" t="s">
        <v>98</v>
      </c>
      <c r="B11" t="s">
        <v>99</v>
      </c>
      <c r="C11" t="s">
        <v>100</v>
      </c>
      <c r="D11" t="s">
        <v>45</v>
      </c>
      <c r="E11" t="s">
        <v>101</v>
      </c>
      <c r="F11" t="s">
        <v>102</v>
      </c>
      <c r="G11" t="s">
        <v>26</v>
      </c>
      <c r="H11" t="s">
        <v>27</v>
      </c>
      <c r="I11" t="s">
        <v>103</v>
      </c>
      <c r="J11" t="s">
        <v>104</v>
      </c>
      <c r="K11">
        <v>28027</v>
      </c>
      <c r="L11" t="s">
        <v>30</v>
      </c>
      <c r="M11" t="s">
        <v>110</v>
      </c>
      <c r="N11" t="s">
        <v>53</v>
      </c>
      <c r="O11" t="s">
        <v>111</v>
      </c>
      <c r="P11" t="s">
        <v>112</v>
      </c>
      <c r="Q11" s="9">
        <v>407.976</v>
      </c>
      <c r="R11">
        <v>3</v>
      </c>
      <c r="S11">
        <v>0.2</v>
      </c>
      <c r="T11">
        <v>132.59219999999999</v>
      </c>
    </row>
    <row r="12" spans="1:20" x14ac:dyDescent="0.25">
      <c r="A12" t="s">
        <v>115</v>
      </c>
      <c r="B12" t="s">
        <v>116</v>
      </c>
      <c r="C12" t="s">
        <v>117</v>
      </c>
      <c r="D12" t="s">
        <v>23</v>
      </c>
      <c r="E12" t="s">
        <v>118</v>
      </c>
      <c r="F12" t="s">
        <v>119</v>
      </c>
      <c r="G12" t="s">
        <v>26</v>
      </c>
      <c r="H12" t="s">
        <v>27</v>
      </c>
      <c r="I12" t="s">
        <v>120</v>
      </c>
      <c r="J12" t="s">
        <v>121</v>
      </c>
      <c r="K12">
        <v>98103</v>
      </c>
      <c r="L12" t="s">
        <v>51</v>
      </c>
      <c r="M12" t="s">
        <v>122</v>
      </c>
      <c r="N12" t="s">
        <v>53</v>
      </c>
      <c r="O12" t="s">
        <v>123</v>
      </c>
      <c r="P12" t="s">
        <v>124</v>
      </c>
      <c r="Q12" s="9">
        <v>68.81</v>
      </c>
      <c r="R12">
        <v>5</v>
      </c>
      <c r="S12">
        <v>0</v>
      </c>
      <c r="T12">
        <v>15.362299999999999</v>
      </c>
    </row>
    <row r="13" spans="1:20" x14ac:dyDescent="0.25">
      <c r="A13" t="s">
        <v>115</v>
      </c>
      <c r="B13" t="s">
        <v>116</v>
      </c>
      <c r="C13" t="s">
        <v>117</v>
      </c>
      <c r="D13" t="s">
        <v>23</v>
      </c>
      <c r="E13" t="s">
        <v>118</v>
      </c>
      <c r="F13" t="s">
        <v>119</v>
      </c>
      <c r="G13" t="s">
        <v>26</v>
      </c>
      <c r="H13" t="s">
        <v>27</v>
      </c>
      <c r="I13" t="s">
        <v>120</v>
      </c>
      <c r="J13" t="s">
        <v>121</v>
      </c>
      <c r="K13">
        <v>98103</v>
      </c>
      <c r="L13" t="s">
        <v>51</v>
      </c>
      <c r="M13" t="s">
        <v>127</v>
      </c>
      <c r="N13" t="s">
        <v>32</v>
      </c>
      <c r="O13" t="s">
        <v>83</v>
      </c>
      <c r="P13" t="s">
        <v>128</v>
      </c>
      <c r="Q13" s="9">
        <v>33.847999999999999</v>
      </c>
      <c r="R13">
        <v>8</v>
      </c>
      <c r="S13">
        <v>0.2</v>
      </c>
      <c r="T13">
        <v>7.6449999999999996</v>
      </c>
    </row>
    <row r="14" spans="1:20" x14ac:dyDescent="0.25">
      <c r="A14" t="s">
        <v>44</v>
      </c>
      <c r="B14" t="s">
        <v>116</v>
      </c>
      <c r="C14" t="s">
        <v>117</v>
      </c>
      <c r="D14" t="s">
        <v>23</v>
      </c>
      <c r="E14" t="s">
        <v>118</v>
      </c>
      <c r="F14" t="s">
        <v>119</v>
      </c>
      <c r="G14" t="s">
        <v>26</v>
      </c>
      <c r="H14" t="s">
        <v>27</v>
      </c>
      <c r="I14" t="s">
        <v>120</v>
      </c>
      <c r="J14" t="s">
        <v>121</v>
      </c>
      <c r="K14">
        <v>98103</v>
      </c>
      <c r="L14" t="s">
        <v>51</v>
      </c>
      <c r="M14" t="s">
        <v>131</v>
      </c>
      <c r="N14" t="s">
        <v>32</v>
      </c>
      <c r="O14" t="s">
        <v>66</v>
      </c>
      <c r="P14" t="s">
        <v>132</v>
      </c>
      <c r="Q14" s="9">
        <v>1044</v>
      </c>
      <c r="R14">
        <v>3</v>
      </c>
      <c r="S14">
        <v>0.3</v>
      </c>
      <c r="T14">
        <v>-277.14</v>
      </c>
    </row>
    <row r="15" spans="1:20" x14ac:dyDescent="0.25">
      <c r="A15" t="s">
        <v>136</v>
      </c>
      <c r="B15" t="s">
        <v>137</v>
      </c>
      <c r="C15" t="s">
        <v>138</v>
      </c>
      <c r="D15" t="s">
        <v>139</v>
      </c>
      <c r="E15" t="s">
        <v>140</v>
      </c>
      <c r="F15" t="s">
        <v>141</v>
      </c>
      <c r="G15" t="s">
        <v>26</v>
      </c>
      <c r="H15" t="s">
        <v>27</v>
      </c>
      <c r="I15" t="s">
        <v>142</v>
      </c>
      <c r="J15" t="s">
        <v>143</v>
      </c>
      <c r="L15" t="s">
        <v>51</v>
      </c>
      <c r="M15" t="s">
        <v>144</v>
      </c>
      <c r="N15" t="s">
        <v>93</v>
      </c>
      <c r="O15" t="s">
        <v>145</v>
      </c>
      <c r="P15" t="s">
        <v>146</v>
      </c>
      <c r="Q15" s="9">
        <v>116.544</v>
      </c>
      <c r="R15">
        <v>4</v>
      </c>
      <c r="S15">
        <v>0</v>
      </c>
      <c r="T15">
        <v>16.316199999999998</v>
      </c>
    </row>
    <row r="16" spans="1:20" x14ac:dyDescent="0.25">
      <c r="A16" t="s">
        <v>136</v>
      </c>
      <c r="B16" t="s">
        <v>137</v>
      </c>
      <c r="C16" t="s">
        <v>138</v>
      </c>
      <c r="D16" t="s">
        <v>139</v>
      </c>
      <c r="E16" t="s">
        <v>140</v>
      </c>
      <c r="F16" t="s">
        <v>141</v>
      </c>
      <c r="G16" t="s">
        <v>26</v>
      </c>
      <c r="H16" t="s">
        <v>27</v>
      </c>
      <c r="I16" t="s">
        <v>142</v>
      </c>
      <c r="J16" t="s">
        <v>143</v>
      </c>
      <c r="K16">
        <v>48205</v>
      </c>
      <c r="L16" t="s">
        <v>51</v>
      </c>
      <c r="M16" t="s">
        <v>149</v>
      </c>
      <c r="N16" t="s">
        <v>53</v>
      </c>
      <c r="O16" t="s">
        <v>111</v>
      </c>
      <c r="P16" t="s">
        <v>150</v>
      </c>
      <c r="Q16" s="9">
        <v>13.48</v>
      </c>
      <c r="R16">
        <v>7</v>
      </c>
      <c r="S16">
        <v>0</v>
      </c>
      <c r="T16">
        <v>4.1025999999999998</v>
      </c>
    </row>
    <row r="17" spans="1:20" x14ac:dyDescent="0.25">
      <c r="A17" t="s">
        <v>153</v>
      </c>
      <c r="B17" t="s">
        <v>154</v>
      </c>
      <c r="C17" t="s">
        <v>155</v>
      </c>
      <c r="D17" t="s">
        <v>45</v>
      </c>
      <c r="E17" t="s">
        <v>156</v>
      </c>
      <c r="F17" t="s">
        <v>157</v>
      </c>
      <c r="G17" t="s">
        <v>26</v>
      </c>
      <c r="H17" t="s">
        <v>27</v>
      </c>
      <c r="I17" t="s">
        <v>158</v>
      </c>
      <c r="J17" t="s">
        <v>159</v>
      </c>
      <c r="K17">
        <v>19140</v>
      </c>
      <c r="L17" t="s">
        <v>160</v>
      </c>
      <c r="M17" t="s">
        <v>161</v>
      </c>
      <c r="N17" t="s">
        <v>32</v>
      </c>
      <c r="O17" t="s">
        <v>39</v>
      </c>
      <c r="P17" t="s">
        <v>162</v>
      </c>
      <c r="Q17" s="9">
        <v>213.11500000000001</v>
      </c>
      <c r="R17">
        <v>3</v>
      </c>
      <c r="S17">
        <v>0.45</v>
      </c>
      <c r="T17">
        <v>-95.903999999999996</v>
      </c>
    </row>
    <row r="18" spans="1:20" x14ac:dyDescent="0.25">
      <c r="A18" t="s">
        <v>153</v>
      </c>
      <c r="B18" t="s">
        <v>154</v>
      </c>
      <c r="C18" t="s">
        <v>155</v>
      </c>
      <c r="D18" t="s">
        <v>45</v>
      </c>
      <c r="E18" t="s">
        <v>165</v>
      </c>
      <c r="F18" t="s">
        <v>157</v>
      </c>
      <c r="G18" t="s">
        <v>26</v>
      </c>
      <c r="H18" t="s">
        <v>27</v>
      </c>
      <c r="I18" t="s">
        <v>158</v>
      </c>
      <c r="J18" t="s">
        <v>159</v>
      </c>
      <c r="K18">
        <v>19140</v>
      </c>
      <c r="L18" t="s">
        <v>160</v>
      </c>
      <c r="M18" t="s">
        <v>166</v>
      </c>
      <c r="N18" t="s">
        <v>53</v>
      </c>
      <c r="O18" t="s">
        <v>167</v>
      </c>
      <c r="P18" t="s">
        <v>168</v>
      </c>
      <c r="Q18" s="9">
        <v>16.5</v>
      </c>
      <c r="R18">
        <v>5</v>
      </c>
      <c r="S18">
        <v>0.2</v>
      </c>
      <c r="T18">
        <v>5.94</v>
      </c>
    </row>
    <row r="19" spans="1:20" x14ac:dyDescent="0.25">
      <c r="A19" t="s">
        <v>171</v>
      </c>
      <c r="B19" t="s">
        <v>172</v>
      </c>
      <c r="C19" t="s">
        <v>173</v>
      </c>
      <c r="D19" t="s">
        <v>23</v>
      </c>
      <c r="E19" t="s">
        <v>174</v>
      </c>
      <c r="F19" t="s">
        <v>175</v>
      </c>
      <c r="G19" t="s">
        <v>26</v>
      </c>
      <c r="H19" t="s">
        <v>27</v>
      </c>
      <c r="I19" t="s">
        <v>176</v>
      </c>
      <c r="J19" t="s">
        <v>177</v>
      </c>
      <c r="K19">
        <v>76106</v>
      </c>
      <c r="L19" t="s">
        <v>178</v>
      </c>
      <c r="M19" t="s">
        <v>179</v>
      </c>
      <c r="N19" t="s">
        <v>53</v>
      </c>
      <c r="O19" t="s">
        <v>72</v>
      </c>
      <c r="P19" t="s">
        <v>180</v>
      </c>
      <c r="Q19" s="9">
        <v>440.98500000000001</v>
      </c>
      <c r="R19">
        <v>3</v>
      </c>
      <c r="S19">
        <v>0.35</v>
      </c>
      <c r="T19">
        <v>-130.07474999999999</v>
      </c>
    </row>
    <row r="20" spans="1:20" x14ac:dyDescent="0.25">
      <c r="A20" t="s">
        <v>184</v>
      </c>
      <c r="B20" t="s">
        <v>185</v>
      </c>
      <c r="C20" t="s">
        <v>186</v>
      </c>
      <c r="D20" t="s">
        <v>139</v>
      </c>
      <c r="E20" t="s">
        <v>187</v>
      </c>
      <c r="F20" t="s">
        <v>188</v>
      </c>
      <c r="G20" t="s">
        <v>26</v>
      </c>
      <c r="H20" t="s">
        <v>27</v>
      </c>
      <c r="I20" t="s">
        <v>189</v>
      </c>
      <c r="J20" t="s">
        <v>190</v>
      </c>
      <c r="K20">
        <v>84084</v>
      </c>
      <c r="L20" t="s">
        <v>51</v>
      </c>
      <c r="M20" t="s">
        <v>191</v>
      </c>
      <c r="N20" t="s">
        <v>93</v>
      </c>
      <c r="O20" t="s">
        <v>94</v>
      </c>
      <c r="P20" t="s">
        <v>192</v>
      </c>
      <c r="Q20" s="9">
        <v>3083.43</v>
      </c>
      <c r="R20">
        <v>7</v>
      </c>
      <c r="S20">
        <v>0.4</v>
      </c>
      <c r="T20">
        <v>-3696.0965999999999</v>
      </c>
    </row>
    <row r="21" spans="1:20" x14ac:dyDescent="0.25">
      <c r="A21" t="s">
        <v>184</v>
      </c>
      <c r="B21" t="s">
        <v>185</v>
      </c>
      <c r="C21" t="s">
        <v>186</v>
      </c>
      <c r="D21" t="s">
        <v>139</v>
      </c>
      <c r="E21" t="s">
        <v>187</v>
      </c>
      <c r="F21" t="s">
        <v>188</v>
      </c>
      <c r="G21" t="s">
        <v>26</v>
      </c>
      <c r="H21" t="s">
        <v>27</v>
      </c>
      <c r="I21" t="s">
        <v>189</v>
      </c>
      <c r="J21" t="s">
        <v>190</v>
      </c>
      <c r="K21">
        <v>84084</v>
      </c>
      <c r="L21" t="s">
        <v>51</v>
      </c>
      <c r="M21" t="s">
        <v>191</v>
      </c>
      <c r="N21" t="s">
        <v>93</v>
      </c>
      <c r="O21" t="s">
        <v>94</v>
      </c>
      <c r="P21" t="s">
        <v>192</v>
      </c>
      <c r="Q21" s="9">
        <v>3083.43</v>
      </c>
      <c r="R21">
        <v>7</v>
      </c>
      <c r="S21">
        <v>0.4</v>
      </c>
      <c r="T21">
        <v>-3696.0965999999999</v>
      </c>
    </row>
    <row r="22" spans="1:20" x14ac:dyDescent="0.25">
      <c r="A22" t="s">
        <v>196</v>
      </c>
      <c r="B22" t="s">
        <v>197</v>
      </c>
      <c r="C22" t="s">
        <v>198</v>
      </c>
      <c r="D22" t="s">
        <v>45</v>
      </c>
      <c r="E22" t="s">
        <v>199</v>
      </c>
      <c r="F22" t="s">
        <v>200</v>
      </c>
      <c r="G22" t="s">
        <v>26</v>
      </c>
      <c r="H22" t="s">
        <v>27</v>
      </c>
      <c r="I22" t="s">
        <v>201</v>
      </c>
      <c r="J22" t="s">
        <v>50</v>
      </c>
      <c r="K22">
        <v>94109</v>
      </c>
      <c r="L22" t="s">
        <v>51</v>
      </c>
      <c r="M22" t="s">
        <v>202</v>
      </c>
      <c r="N22" t="s">
        <v>53</v>
      </c>
      <c r="O22" t="s">
        <v>106</v>
      </c>
      <c r="P22" t="s">
        <v>203</v>
      </c>
      <c r="Q22" s="10" t="s">
        <v>204</v>
      </c>
      <c r="R22">
        <v>4</v>
      </c>
      <c r="S22">
        <v>0.8</v>
      </c>
      <c r="T22" t="s">
        <v>204</v>
      </c>
    </row>
    <row r="23" spans="1:20" x14ac:dyDescent="0.25">
      <c r="A23" t="s">
        <v>196</v>
      </c>
      <c r="B23" t="s">
        <v>197</v>
      </c>
      <c r="C23" t="s">
        <v>198</v>
      </c>
      <c r="D23" t="s">
        <v>45</v>
      </c>
      <c r="E23" t="s">
        <v>199</v>
      </c>
      <c r="F23" t="s">
        <v>200</v>
      </c>
      <c r="G23" t="s">
        <v>26</v>
      </c>
      <c r="H23" t="s">
        <v>27</v>
      </c>
      <c r="I23" t="s">
        <v>201</v>
      </c>
      <c r="J23" t="s">
        <v>50</v>
      </c>
      <c r="K23">
        <v>94109</v>
      </c>
      <c r="L23" t="s">
        <v>51</v>
      </c>
      <c r="M23" t="s">
        <v>206</v>
      </c>
      <c r="N23" t="s">
        <v>93</v>
      </c>
      <c r="O23" t="s">
        <v>94</v>
      </c>
      <c r="P23" t="s">
        <v>207</v>
      </c>
      <c r="Q23" s="9">
        <v>36.624000000000002</v>
      </c>
      <c r="R23">
        <v>3</v>
      </c>
      <c r="S23">
        <v>0.2</v>
      </c>
      <c r="T23">
        <v>7.3247999999999998</v>
      </c>
    </row>
    <row r="24" spans="1:20" x14ac:dyDescent="0.25">
      <c r="A24" t="s">
        <v>210</v>
      </c>
      <c r="B24" t="s">
        <v>211</v>
      </c>
      <c r="C24" t="s">
        <v>212</v>
      </c>
      <c r="D24" t="s">
        <v>45</v>
      </c>
      <c r="E24" t="s">
        <v>213</v>
      </c>
      <c r="F24" t="s">
        <v>214</v>
      </c>
      <c r="G24" t="s">
        <v>26</v>
      </c>
      <c r="H24" t="s">
        <v>27</v>
      </c>
      <c r="I24" t="s">
        <v>215</v>
      </c>
      <c r="J24" t="s">
        <v>216</v>
      </c>
      <c r="K24">
        <v>55407</v>
      </c>
      <c r="L24" t="s">
        <v>178</v>
      </c>
      <c r="M24" t="s">
        <v>217</v>
      </c>
      <c r="N24" t="s">
        <v>32</v>
      </c>
      <c r="O24" t="s">
        <v>66</v>
      </c>
      <c r="P24" t="s">
        <v>218</v>
      </c>
      <c r="Q24" s="9">
        <v>1096.5319999999999</v>
      </c>
      <c r="R24">
        <v>2</v>
      </c>
      <c r="S24">
        <v>0.4</v>
      </c>
      <c r="T24">
        <v>-236.26689999999999</v>
      </c>
    </row>
    <row r="25" spans="1:20" x14ac:dyDescent="0.25">
      <c r="A25" t="s">
        <v>221</v>
      </c>
      <c r="B25" t="s">
        <v>222</v>
      </c>
      <c r="C25" t="s">
        <v>223</v>
      </c>
      <c r="D25" t="s">
        <v>23</v>
      </c>
      <c r="E25" t="s">
        <v>224</v>
      </c>
      <c r="F25" t="s">
        <v>225</v>
      </c>
      <c r="G25" t="s">
        <v>26</v>
      </c>
      <c r="H25" t="s">
        <v>27</v>
      </c>
      <c r="I25" t="s">
        <v>142</v>
      </c>
      <c r="J25" t="s">
        <v>143</v>
      </c>
      <c r="K25">
        <v>48219</v>
      </c>
      <c r="L25" t="s">
        <v>178</v>
      </c>
      <c r="M25" t="s">
        <v>226</v>
      </c>
      <c r="N25" t="s">
        <v>53</v>
      </c>
      <c r="O25" t="s">
        <v>123</v>
      </c>
      <c r="P25" t="s">
        <v>227</v>
      </c>
      <c r="Q25" s="9">
        <v>103.92</v>
      </c>
      <c r="R25">
        <v>4</v>
      </c>
      <c r="S25">
        <v>0.2</v>
      </c>
      <c r="T25">
        <v>22.413599999999999</v>
      </c>
    </row>
    <row r="26" spans="1:20" x14ac:dyDescent="0.25">
      <c r="A26" t="s">
        <v>230</v>
      </c>
      <c r="B26" t="s">
        <v>22</v>
      </c>
      <c r="C26" t="s">
        <v>231</v>
      </c>
      <c r="D26" t="s">
        <v>45</v>
      </c>
      <c r="E26" t="s">
        <v>232</v>
      </c>
      <c r="F26" t="s">
        <v>233</v>
      </c>
      <c r="G26" t="s">
        <v>26</v>
      </c>
      <c r="H26" t="s">
        <v>27</v>
      </c>
      <c r="I26" t="s">
        <v>234</v>
      </c>
      <c r="J26" t="s">
        <v>235</v>
      </c>
      <c r="K26">
        <v>10024</v>
      </c>
      <c r="L26" t="s">
        <v>160</v>
      </c>
      <c r="M26" t="s">
        <v>236</v>
      </c>
      <c r="N26" t="s">
        <v>93</v>
      </c>
      <c r="O26" t="s">
        <v>145</v>
      </c>
      <c r="P26" t="s">
        <v>237</v>
      </c>
      <c r="Q26" s="9">
        <v>21.78</v>
      </c>
      <c r="R26">
        <v>3</v>
      </c>
      <c r="S26">
        <v>0</v>
      </c>
      <c r="T26">
        <v>7.8246000000000002</v>
      </c>
    </row>
    <row r="27" spans="1:20" x14ac:dyDescent="0.25">
      <c r="A27" t="s">
        <v>240</v>
      </c>
      <c r="B27" t="s">
        <v>241</v>
      </c>
      <c r="C27" t="s">
        <v>242</v>
      </c>
      <c r="D27" t="s">
        <v>23</v>
      </c>
      <c r="E27" t="s">
        <v>243</v>
      </c>
      <c r="F27" t="s">
        <v>244</v>
      </c>
      <c r="G27" t="s">
        <v>48</v>
      </c>
      <c r="H27" t="s">
        <v>27</v>
      </c>
      <c r="I27" t="s">
        <v>245</v>
      </c>
      <c r="J27" t="s">
        <v>177</v>
      </c>
      <c r="K27">
        <v>78212</v>
      </c>
      <c r="L27" t="s">
        <v>178</v>
      </c>
      <c r="M27" t="s">
        <v>246</v>
      </c>
      <c r="N27" t="s">
        <v>53</v>
      </c>
      <c r="O27" t="s">
        <v>111</v>
      </c>
      <c r="P27" t="s">
        <v>247</v>
      </c>
      <c r="Q27" s="9">
        <v>52.776000000000003</v>
      </c>
      <c r="R27">
        <v>3</v>
      </c>
      <c r="S27">
        <v>0</v>
      </c>
      <c r="T27">
        <v>19.499400000000001</v>
      </c>
    </row>
    <row r="28" spans="1:20" x14ac:dyDescent="0.25">
      <c r="A28" t="s">
        <v>250</v>
      </c>
      <c r="B28" t="s">
        <v>251</v>
      </c>
      <c r="C28" t="s">
        <v>252</v>
      </c>
      <c r="D28" t="s">
        <v>23</v>
      </c>
      <c r="E28" t="s">
        <v>253</v>
      </c>
      <c r="F28" t="s">
        <v>254</v>
      </c>
      <c r="G28" t="s">
        <v>255</v>
      </c>
      <c r="H28" t="s">
        <v>27</v>
      </c>
      <c r="I28" t="s">
        <v>256</v>
      </c>
      <c r="J28" t="s">
        <v>257</v>
      </c>
      <c r="K28">
        <v>60623</v>
      </c>
      <c r="L28" t="s">
        <v>178</v>
      </c>
      <c r="M28" t="s">
        <v>258</v>
      </c>
      <c r="N28" t="s">
        <v>53</v>
      </c>
      <c r="O28" t="s">
        <v>259</v>
      </c>
      <c r="P28" t="s">
        <v>260</v>
      </c>
      <c r="Q28" s="10" t="s">
        <v>204</v>
      </c>
      <c r="R28">
        <v>7</v>
      </c>
      <c r="S28" t="s">
        <v>204</v>
      </c>
      <c r="T28">
        <v>-35.531999999999996</v>
      </c>
    </row>
    <row r="29" spans="1:20" x14ac:dyDescent="0.25">
      <c r="A29" t="s">
        <v>250</v>
      </c>
      <c r="B29" t="s">
        <v>251</v>
      </c>
      <c r="C29" t="s">
        <v>252</v>
      </c>
      <c r="D29" t="s">
        <v>23</v>
      </c>
      <c r="E29" t="s">
        <v>253</v>
      </c>
      <c r="F29" t="s">
        <v>254</v>
      </c>
      <c r="G29" t="s">
        <v>255</v>
      </c>
      <c r="H29" t="s">
        <v>27</v>
      </c>
      <c r="I29" t="s">
        <v>256</v>
      </c>
      <c r="J29" t="s">
        <v>257</v>
      </c>
      <c r="K29">
        <v>60623</v>
      </c>
      <c r="L29" t="s">
        <v>178</v>
      </c>
      <c r="M29" t="s">
        <v>262</v>
      </c>
      <c r="N29" t="s">
        <v>32</v>
      </c>
      <c r="O29" t="s">
        <v>83</v>
      </c>
      <c r="P29" t="s">
        <v>263</v>
      </c>
      <c r="Q29" s="9">
        <v>123.55200000000001</v>
      </c>
      <c r="R29">
        <v>6</v>
      </c>
      <c r="S29">
        <v>0.2</v>
      </c>
      <c r="T29">
        <v>34.5946</v>
      </c>
    </row>
    <row r="30" spans="1:20" x14ac:dyDescent="0.25">
      <c r="A30" t="s">
        <v>266</v>
      </c>
      <c r="B30" t="s">
        <v>267</v>
      </c>
      <c r="C30" t="s">
        <v>268</v>
      </c>
      <c r="D30" t="s">
        <v>23</v>
      </c>
      <c r="E30" t="s">
        <v>269</v>
      </c>
      <c r="F30" t="s">
        <v>270</v>
      </c>
      <c r="G30" t="s">
        <v>26</v>
      </c>
      <c r="H30" t="s">
        <v>27</v>
      </c>
      <c r="I30" t="s">
        <v>271</v>
      </c>
      <c r="J30" t="s">
        <v>64</v>
      </c>
      <c r="K30">
        <v>32257</v>
      </c>
      <c r="L30" t="s">
        <v>30</v>
      </c>
      <c r="M30" t="s">
        <v>272</v>
      </c>
      <c r="N30" t="s">
        <v>93</v>
      </c>
      <c r="O30" t="s">
        <v>94</v>
      </c>
      <c r="P30" t="s">
        <v>273</v>
      </c>
      <c r="Q30" s="9">
        <v>1029.95</v>
      </c>
      <c r="R30">
        <v>5</v>
      </c>
      <c r="S30">
        <v>0.3</v>
      </c>
      <c r="T30">
        <v>-514.97500000000002</v>
      </c>
    </row>
    <row r="31" spans="1:20" x14ac:dyDescent="0.25">
      <c r="A31" t="s">
        <v>266</v>
      </c>
      <c r="B31" t="s">
        <v>267</v>
      </c>
      <c r="C31" t="s">
        <v>268</v>
      </c>
      <c r="D31" t="s">
        <v>23</v>
      </c>
      <c r="E31" t="s">
        <v>269</v>
      </c>
      <c r="F31" t="s">
        <v>270</v>
      </c>
      <c r="G31" t="s">
        <v>26</v>
      </c>
      <c r="H31" t="s">
        <v>27</v>
      </c>
      <c r="I31" t="s">
        <v>271</v>
      </c>
      <c r="J31" t="s">
        <v>64</v>
      </c>
      <c r="K31">
        <v>32257</v>
      </c>
      <c r="L31" t="s">
        <v>30</v>
      </c>
      <c r="M31" t="s">
        <v>276</v>
      </c>
      <c r="N31" t="s">
        <v>53</v>
      </c>
      <c r="O31" t="s">
        <v>106</v>
      </c>
      <c r="P31" t="s">
        <v>277</v>
      </c>
      <c r="Q31" s="9">
        <v>37.408000000000001</v>
      </c>
      <c r="R31">
        <v>8</v>
      </c>
      <c r="S31">
        <v>0.3</v>
      </c>
      <c r="T31">
        <v>12.224600000000001</v>
      </c>
    </row>
    <row r="32" spans="1:20" x14ac:dyDescent="0.25">
      <c r="A32" t="s">
        <v>280</v>
      </c>
      <c r="B32" t="s">
        <v>281</v>
      </c>
      <c r="C32" t="s">
        <v>155</v>
      </c>
      <c r="D32" t="s">
        <v>139</v>
      </c>
      <c r="E32" t="s">
        <v>282</v>
      </c>
      <c r="F32" t="s">
        <v>283</v>
      </c>
      <c r="G32" t="s">
        <v>26</v>
      </c>
      <c r="H32" t="s">
        <v>27</v>
      </c>
      <c r="I32" t="s">
        <v>284</v>
      </c>
      <c r="J32" t="s">
        <v>257</v>
      </c>
      <c r="K32">
        <v>60540</v>
      </c>
      <c r="L32" t="s">
        <v>178</v>
      </c>
      <c r="M32" t="s">
        <v>285</v>
      </c>
      <c r="N32" t="s">
        <v>32</v>
      </c>
      <c r="O32" t="s">
        <v>39</v>
      </c>
      <c r="P32" t="s">
        <v>286</v>
      </c>
      <c r="Q32" s="9">
        <v>489.53199999999998</v>
      </c>
      <c r="R32">
        <v>4</v>
      </c>
      <c r="S32">
        <v>0.45</v>
      </c>
      <c r="T32">
        <v>-146.8596</v>
      </c>
    </row>
    <row r="33" spans="1:20" x14ac:dyDescent="0.25">
      <c r="A33" t="s">
        <v>280</v>
      </c>
      <c r="B33" t="s">
        <v>281</v>
      </c>
      <c r="C33" t="s">
        <v>155</v>
      </c>
      <c r="D33" t="s">
        <v>139</v>
      </c>
      <c r="E33" t="s">
        <v>282</v>
      </c>
      <c r="F33" t="s">
        <v>289</v>
      </c>
      <c r="G33" t="s">
        <v>26</v>
      </c>
      <c r="H33" t="s">
        <v>27</v>
      </c>
      <c r="I33" t="s">
        <v>284</v>
      </c>
      <c r="J33" t="s">
        <v>257</v>
      </c>
      <c r="K33">
        <v>60540</v>
      </c>
      <c r="L33" t="s">
        <v>178</v>
      </c>
      <c r="M33" t="s">
        <v>290</v>
      </c>
      <c r="N33" t="s">
        <v>93</v>
      </c>
      <c r="O33" t="s">
        <v>291</v>
      </c>
      <c r="P33" t="s">
        <v>292</v>
      </c>
      <c r="Q33" s="9">
        <v>2799.99</v>
      </c>
      <c r="R33">
        <v>3</v>
      </c>
      <c r="S33">
        <v>0.4</v>
      </c>
      <c r="T33">
        <v>-3360</v>
      </c>
    </row>
    <row r="34" spans="1:20" x14ac:dyDescent="0.25">
      <c r="A34" t="s">
        <v>295</v>
      </c>
      <c r="B34" t="s">
        <v>296</v>
      </c>
      <c r="C34" t="s">
        <v>44</v>
      </c>
      <c r="D34" t="s">
        <v>45</v>
      </c>
      <c r="E34" t="s">
        <v>297</v>
      </c>
      <c r="F34" t="s">
        <v>298</v>
      </c>
      <c r="G34" t="s">
        <v>26</v>
      </c>
      <c r="H34" t="s">
        <v>27</v>
      </c>
      <c r="I34" t="s">
        <v>299</v>
      </c>
      <c r="J34" t="s">
        <v>300</v>
      </c>
      <c r="K34">
        <v>46614</v>
      </c>
      <c r="L34" t="s">
        <v>178</v>
      </c>
      <c r="M34" t="s">
        <v>301</v>
      </c>
      <c r="N34" t="s">
        <v>32</v>
      </c>
      <c r="O34" t="s">
        <v>39</v>
      </c>
      <c r="P34" t="s">
        <v>286</v>
      </c>
      <c r="Q34" s="9">
        <v>426.58800000000002</v>
      </c>
      <c r="R34">
        <v>7</v>
      </c>
      <c r="S34">
        <v>0.45</v>
      </c>
      <c r="T34">
        <v>-213.29400000000001</v>
      </c>
    </row>
    <row r="35" spans="1:20" x14ac:dyDescent="0.25">
      <c r="A35" t="s">
        <v>295</v>
      </c>
      <c r="B35" t="s">
        <v>296</v>
      </c>
      <c r="C35" t="s">
        <v>304</v>
      </c>
      <c r="D35" t="s">
        <v>45</v>
      </c>
      <c r="E35" t="s">
        <v>297</v>
      </c>
      <c r="F35" t="s">
        <v>298</v>
      </c>
      <c r="G35" t="s">
        <v>26</v>
      </c>
      <c r="H35" t="s">
        <v>27</v>
      </c>
      <c r="I35" t="s">
        <v>299</v>
      </c>
      <c r="J35" t="s">
        <v>300</v>
      </c>
      <c r="K35">
        <v>46614</v>
      </c>
      <c r="L35" t="s">
        <v>178</v>
      </c>
      <c r="M35" t="s">
        <v>305</v>
      </c>
      <c r="N35" t="s">
        <v>53</v>
      </c>
      <c r="O35" t="s">
        <v>167</v>
      </c>
      <c r="P35" t="s">
        <v>306</v>
      </c>
      <c r="Q35" s="9">
        <v>26.376000000000001</v>
      </c>
      <c r="R35">
        <v>6</v>
      </c>
      <c r="S35">
        <v>0.2</v>
      </c>
      <c r="T35">
        <v>7.649</v>
      </c>
    </row>
    <row r="36" spans="1:20" x14ac:dyDescent="0.25">
      <c r="A36" t="s">
        <v>309</v>
      </c>
      <c r="B36" t="s">
        <v>310</v>
      </c>
      <c r="C36" t="s">
        <v>311</v>
      </c>
      <c r="D36" t="s">
        <v>45</v>
      </c>
      <c r="E36" t="s">
        <v>312</v>
      </c>
      <c r="F36" t="s">
        <v>313</v>
      </c>
      <c r="G36" t="s">
        <v>48</v>
      </c>
      <c r="H36" t="s">
        <v>27</v>
      </c>
      <c r="I36" t="s">
        <v>314</v>
      </c>
      <c r="J36" t="s">
        <v>315</v>
      </c>
      <c r="K36">
        <v>97229</v>
      </c>
      <c r="L36" t="s">
        <v>51</v>
      </c>
      <c r="M36" t="s">
        <v>316</v>
      </c>
      <c r="N36" t="s">
        <v>32</v>
      </c>
      <c r="O36" t="s">
        <v>83</v>
      </c>
      <c r="P36" t="s">
        <v>317</v>
      </c>
      <c r="Q36" s="9">
        <v>14.352</v>
      </c>
      <c r="R36">
        <v>4</v>
      </c>
      <c r="S36">
        <v>0.2</v>
      </c>
      <c r="T36">
        <v>4.3056000000000001</v>
      </c>
    </row>
    <row r="37" spans="1:20" x14ac:dyDescent="0.25">
      <c r="A37" t="s">
        <v>320</v>
      </c>
      <c r="B37" t="s">
        <v>321</v>
      </c>
      <c r="C37" t="s">
        <v>322</v>
      </c>
      <c r="D37" t="s">
        <v>45</v>
      </c>
      <c r="E37" t="s">
        <v>323</v>
      </c>
      <c r="F37" t="s">
        <v>324</v>
      </c>
      <c r="G37" t="s">
        <v>26</v>
      </c>
      <c r="H37" t="s">
        <v>27</v>
      </c>
      <c r="I37" t="s">
        <v>120</v>
      </c>
      <c r="J37" t="s">
        <v>121</v>
      </c>
      <c r="K37">
        <v>98115</v>
      </c>
      <c r="L37" t="s">
        <v>51</v>
      </c>
      <c r="M37" t="s">
        <v>325</v>
      </c>
      <c r="N37" t="s">
        <v>53</v>
      </c>
      <c r="O37" t="s">
        <v>123</v>
      </c>
      <c r="P37" t="s">
        <v>326</v>
      </c>
      <c r="Q37" s="9">
        <v>649.78399999999999</v>
      </c>
      <c r="R37">
        <v>8</v>
      </c>
      <c r="S37">
        <v>0.5</v>
      </c>
      <c r="T37">
        <v>-974.67600000000004</v>
      </c>
    </row>
    <row r="38" spans="1:20" x14ac:dyDescent="0.25">
      <c r="A38" t="s">
        <v>320</v>
      </c>
      <c r="B38" t="s">
        <v>321</v>
      </c>
      <c r="C38" t="s">
        <v>322</v>
      </c>
      <c r="D38" t="s">
        <v>45</v>
      </c>
      <c r="E38" t="s">
        <v>323</v>
      </c>
      <c r="F38" t="s">
        <v>324</v>
      </c>
      <c r="G38" t="s">
        <v>26</v>
      </c>
      <c r="H38" t="s">
        <v>27</v>
      </c>
      <c r="I38" t="s">
        <v>120</v>
      </c>
      <c r="J38" t="s">
        <v>121</v>
      </c>
      <c r="K38">
        <v>98115</v>
      </c>
      <c r="L38" t="s">
        <v>51</v>
      </c>
      <c r="M38" t="s">
        <v>330</v>
      </c>
      <c r="N38" t="s">
        <v>93</v>
      </c>
      <c r="O38" t="s">
        <v>331</v>
      </c>
      <c r="P38" t="s">
        <v>332</v>
      </c>
      <c r="Q38" s="9">
        <v>2499.9899999999998</v>
      </c>
      <c r="R38">
        <v>3</v>
      </c>
      <c r="S38">
        <v>0.2</v>
      </c>
      <c r="T38">
        <v>749.99699999999996</v>
      </c>
    </row>
    <row r="39" spans="1:20" x14ac:dyDescent="0.25">
      <c r="A39" t="s">
        <v>335</v>
      </c>
      <c r="B39" t="s">
        <v>336</v>
      </c>
      <c r="C39" t="s">
        <v>337</v>
      </c>
      <c r="D39" t="s">
        <v>139</v>
      </c>
      <c r="E39" t="s">
        <v>338</v>
      </c>
      <c r="F39" t="s">
        <v>339</v>
      </c>
      <c r="G39" t="s">
        <v>26</v>
      </c>
      <c r="H39" t="s">
        <v>27</v>
      </c>
      <c r="I39" t="s">
        <v>340</v>
      </c>
      <c r="J39" t="s">
        <v>341</v>
      </c>
      <c r="K39">
        <v>23173</v>
      </c>
      <c r="L39" t="s">
        <v>30</v>
      </c>
      <c r="M39" t="s">
        <v>342</v>
      </c>
      <c r="N39" t="s">
        <v>32</v>
      </c>
      <c r="O39" t="s">
        <v>83</v>
      </c>
      <c r="P39" t="s">
        <v>343</v>
      </c>
      <c r="Q39" s="9">
        <v>66.144000000000005</v>
      </c>
      <c r="R39">
        <v>6</v>
      </c>
      <c r="S39">
        <v>0.2</v>
      </c>
      <c r="T39">
        <v>12.3619</v>
      </c>
    </row>
    <row r="40" spans="1:20" x14ac:dyDescent="0.25">
      <c r="A40" t="s">
        <v>346</v>
      </c>
      <c r="B40" t="s">
        <v>347</v>
      </c>
      <c r="C40" t="s">
        <v>348</v>
      </c>
      <c r="D40" t="s">
        <v>45</v>
      </c>
      <c r="E40" t="s">
        <v>349</v>
      </c>
      <c r="F40" t="s">
        <v>350</v>
      </c>
      <c r="G40" t="s">
        <v>26</v>
      </c>
      <c r="H40" t="s">
        <v>27</v>
      </c>
      <c r="I40" t="s">
        <v>158</v>
      </c>
      <c r="J40" t="s">
        <v>159</v>
      </c>
      <c r="K40">
        <v>19120</v>
      </c>
      <c r="L40" t="s">
        <v>160</v>
      </c>
      <c r="M40" t="s">
        <v>351</v>
      </c>
      <c r="N40" t="s">
        <v>53</v>
      </c>
      <c r="O40" t="s">
        <v>111</v>
      </c>
      <c r="P40" t="s">
        <v>247</v>
      </c>
      <c r="Q40" s="9">
        <v>18.504000000000001</v>
      </c>
      <c r="R40">
        <v>3</v>
      </c>
      <c r="S40">
        <v>0.2</v>
      </c>
      <c r="T40">
        <v>5.5511999999999997</v>
      </c>
    </row>
    <row r="41" spans="1:20" x14ac:dyDescent="0.25">
      <c r="A41" t="s">
        <v>354</v>
      </c>
      <c r="B41" t="s">
        <v>355</v>
      </c>
      <c r="C41" t="s">
        <v>356</v>
      </c>
      <c r="D41" t="s">
        <v>45</v>
      </c>
      <c r="E41" t="s">
        <v>357</v>
      </c>
      <c r="F41" t="s">
        <v>358</v>
      </c>
      <c r="G41" t="s">
        <v>26</v>
      </c>
      <c r="H41" t="s">
        <v>27</v>
      </c>
      <c r="I41" t="s">
        <v>359</v>
      </c>
      <c r="J41" t="s">
        <v>360</v>
      </c>
      <c r="K41">
        <v>57104</v>
      </c>
      <c r="L41" t="s">
        <v>178</v>
      </c>
      <c r="M41" t="s">
        <v>361</v>
      </c>
      <c r="N41" t="s">
        <v>93</v>
      </c>
      <c r="O41" t="s">
        <v>291</v>
      </c>
      <c r="P41" t="s">
        <v>362</v>
      </c>
      <c r="Q41" s="9">
        <v>4199.99</v>
      </c>
      <c r="R41">
        <v>5</v>
      </c>
      <c r="S41">
        <v>0.4</v>
      </c>
      <c r="T41">
        <v>-2520</v>
      </c>
    </row>
    <row r="42" spans="1:20" x14ac:dyDescent="0.25">
      <c r="A42" t="s">
        <v>365</v>
      </c>
      <c r="B42" t="s">
        <v>355</v>
      </c>
      <c r="C42" t="s">
        <v>356</v>
      </c>
      <c r="D42" t="s">
        <v>45</v>
      </c>
      <c r="E42" t="s">
        <v>357</v>
      </c>
      <c r="F42" t="s">
        <v>358</v>
      </c>
      <c r="G42" t="s">
        <v>26</v>
      </c>
      <c r="H42" t="s">
        <v>27</v>
      </c>
      <c r="I42" t="s">
        <v>359</v>
      </c>
      <c r="J42" t="s">
        <v>360</v>
      </c>
      <c r="K42">
        <v>57104</v>
      </c>
      <c r="L42" t="s">
        <v>178</v>
      </c>
      <c r="M42" t="s">
        <v>361</v>
      </c>
      <c r="N42" t="s">
        <v>93</v>
      </c>
      <c r="O42" t="s">
        <v>291</v>
      </c>
      <c r="P42" t="s">
        <v>362</v>
      </c>
      <c r="Q42" s="9">
        <v>4199.99</v>
      </c>
      <c r="R42">
        <v>5</v>
      </c>
      <c r="S42">
        <v>0.4</v>
      </c>
      <c r="T42">
        <v>-2520</v>
      </c>
    </row>
    <row r="43" spans="1:20" x14ac:dyDescent="0.25">
      <c r="A43" t="s">
        <v>366</v>
      </c>
      <c r="B43" t="s">
        <v>367</v>
      </c>
      <c r="C43" t="s">
        <v>368</v>
      </c>
      <c r="D43" t="s">
        <v>45</v>
      </c>
      <c r="E43" t="s">
        <v>369</v>
      </c>
      <c r="F43" t="s">
        <v>370</v>
      </c>
      <c r="G43" t="s">
        <v>26</v>
      </c>
      <c r="H43" t="s">
        <v>27</v>
      </c>
      <c r="I43" t="s">
        <v>120</v>
      </c>
      <c r="J43" t="s">
        <v>121</v>
      </c>
      <c r="K43">
        <v>98103</v>
      </c>
      <c r="L43" t="s">
        <v>51</v>
      </c>
      <c r="M43" t="s">
        <v>371</v>
      </c>
      <c r="N43" t="s">
        <v>93</v>
      </c>
      <c r="O43" t="s">
        <v>94</v>
      </c>
      <c r="P43" t="s">
        <v>372</v>
      </c>
      <c r="Q43" s="9">
        <v>59.99</v>
      </c>
      <c r="R43">
        <v>2</v>
      </c>
      <c r="S43">
        <v>0.1</v>
      </c>
      <c r="T43">
        <v>24.895900000000001</v>
      </c>
    </row>
    <row r="44" spans="1:20" x14ac:dyDescent="0.25">
      <c r="A44" t="s">
        <v>376</v>
      </c>
      <c r="B44" t="s">
        <v>377</v>
      </c>
      <c r="C44" t="s">
        <v>378</v>
      </c>
      <c r="D44" t="s">
        <v>45</v>
      </c>
      <c r="E44" t="s">
        <v>379</v>
      </c>
      <c r="F44" t="s">
        <v>380</v>
      </c>
      <c r="G44" t="s">
        <v>26</v>
      </c>
      <c r="H44" t="s">
        <v>27</v>
      </c>
      <c r="I44" t="s">
        <v>381</v>
      </c>
      <c r="J44" t="s">
        <v>300</v>
      </c>
      <c r="K44">
        <v>46402</v>
      </c>
      <c r="L44" t="s">
        <v>178</v>
      </c>
      <c r="M44" t="s">
        <v>382</v>
      </c>
      <c r="N44" t="s">
        <v>53</v>
      </c>
      <c r="O44" t="s">
        <v>111</v>
      </c>
      <c r="P44" t="s">
        <v>383</v>
      </c>
      <c r="Q44" s="9">
        <v>38.94</v>
      </c>
      <c r="R44">
        <v>3</v>
      </c>
      <c r="S44">
        <v>0.2</v>
      </c>
      <c r="T44">
        <v>11.682</v>
      </c>
    </row>
    <row r="45" spans="1:20" x14ac:dyDescent="0.25">
      <c r="A45" t="s">
        <v>386</v>
      </c>
      <c r="B45" t="s">
        <v>172</v>
      </c>
      <c r="C45" t="s">
        <v>173</v>
      </c>
      <c r="D45" t="s">
        <v>45</v>
      </c>
      <c r="E45" t="s">
        <v>387</v>
      </c>
      <c r="F45" t="s">
        <v>388</v>
      </c>
      <c r="G45" t="s">
        <v>26</v>
      </c>
      <c r="H45" t="s">
        <v>27</v>
      </c>
      <c r="I45" t="s">
        <v>271</v>
      </c>
      <c r="J45" t="s">
        <v>64</v>
      </c>
      <c r="K45">
        <v>32256</v>
      </c>
      <c r="L45" t="s">
        <v>30</v>
      </c>
      <c r="M45" t="s">
        <v>389</v>
      </c>
      <c r="N45" t="s">
        <v>53</v>
      </c>
      <c r="O45" t="s">
        <v>106</v>
      </c>
      <c r="P45" t="s">
        <v>390</v>
      </c>
      <c r="Q45" s="9">
        <v>11.784000000000001</v>
      </c>
      <c r="R45">
        <v>2</v>
      </c>
      <c r="S45">
        <v>0.2</v>
      </c>
      <c r="T45">
        <v>4.2426000000000004</v>
      </c>
    </row>
    <row r="46" spans="1:20" x14ac:dyDescent="0.25">
      <c r="A46" t="s">
        <v>386</v>
      </c>
      <c r="B46" t="s">
        <v>172</v>
      </c>
      <c r="C46" t="s">
        <v>173</v>
      </c>
      <c r="D46" t="s">
        <v>45</v>
      </c>
      <c r="E46" t="s">
        <v>387</v>
      </c>
      <c r="F46" t="s">
        <v>388</v>
      </c>
      <c r="G46" t="s">
        <v>26</v>
      </c>
      <c r="H46" t="s">
        <v>27</v>
      </c>
      <c r="I46" t="s">
        <v>271</v>
      </c>
      <c r="J46" t="s">
        <v>64</v>
      </c>
      <c r="K46">
        <v>32256</v>
      </c>
      <c r="L46" t="s">
        <v>30</v>
      </c>
      <c r="M46" t="s">
        <v>393</v>
      </c>
      <c r="N46" t="s">
        <v>93</v>
      </c>
      <c r="O46" t="s">
        <v>94</v>
      </c>
      <c r="P46" t="s">
        <v>394</v>
      </c>
      <c r="Q46" s="9">
        <v>383.02800000000002</v>
      </c>
      <c r="R46">
        <v>3</v>
      </c>
      <c r="S46">
        <v>0.2</v>
      </c>
      <c r="T46">
        <v>76.605599999999995</v>
      </c>
    </row>
    <row r="47" spans="1:20" x14ac:dyDescent="0.25">
      <c r="A47" t="s">
        <v>397</v>
      </c>
      <c r="B47" t="s">
        <v>398</v>
      </c>
      <c r="C47" t="s">
        <v>173</v>
      </c>
      <c r="D47" t="s">
        <v>45</v>
      </c>
      <c r="E47" t="s">
        <v>399</v>
      </c>
      <c r="F47" t="s">
        <v>400</v>
      </c>
      <c r="G47" t="s">
        <v>26</v>
      </c>
      <c r="H47" t="s">
        <v>27</v>
      </c>
      <c r="I47" t="s">
        <v>401</v>
      </c>
      <c r="J47" t="s">
        <v>64</v>
      </c>
      <c r="K47">
        <v>32256</v>
      </c>
      <c r="L47" t="s">
        <v>30</v>
      </c>
      <c r="M47" t="s">
        <v>393</v>
      </c>
      <c r="N47" t="s">
        <v>93</v>
      </c>
      <c r="O47" t="s">
        <v>94</v>
      </c>
      <c r="P47" t="s">
        <v>394</v>
      </c>
      <c r="Q47" s="9">
        <v>383.02800000000002</v>
      </c>
      <c r="R47">
        <v>3</v>
      </c>
      <c r="S47">
        <v>0.2</v>
      </c>
      <c r="T47">
        <v>76.605599999999995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333E-EF7B-4A83-8FD7-5DA71BC5EA9D}">
  <dimension ref="A1:T47"/>
  <sheetViews>
    <sheetView zoomScaleNormal="100" workbookViewId="0">
      <selection activeCell="C49" sqref="C49"/>
    </sheetView>
  </sheetViews>
  <sheetFormatPr defaultRowHeight="15" x14ac:dyDescent="0.25"/>
  <cols>
    <col min="1" max="1" width="16.140625" bestFit="1" customWidth="1"/>
    <col min="2" max="2" width="14" bestFit="1" customWidth="1"/>
    <col min="3" max="3" width="11.5703125" customWidth="1"/>
    <col min="4" max="4" width="13.85546875" bestFit="1" customWidth="1"/>
    <col min="5" max="5" width="14.140625" customWidth="1"/>
    <col min="6" max="6" width="17.7109375" bestFit="1" customWidth="1"/>
    <col min="7" max="7" width="12.140625" bestFit="1" customWidth="1"/>
    <col min="8" max="8" width="12.85546875" bestFit="1" customWidth="1"/>
    <col min="9" max="9" width="15" bestFit="1" customWidth="1"/>
    <col min="10" max="10" width="14" bestFit="1" customWidth="1"/>
    <col min="11" max="11" width="13.5703125" customWidth="1"/>
    <col min="12" max="12" width="9.28515625" customWidth="1"/>
    <col min="13" max="13" width="16.7109375" bestFit="1" customWidth="1"/>
    <col min="14" max="14" width="14.5703125" bestFit="1" customWidth="1"/>
    <col min="15" max="15" width="15" customWidth="1"/>
    <col min="16" max="16" width="72.42578125" bestFit="1" customWidth="1"/>
    <col min="17" max="17" width="9" style="2" customWidth="1"/>
    <col min="18" max="19" width="10.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s="2" t="s">
        <v>16</v>
      </c>
      <c r="R1" t="s">
        <v>17</v>
      </c>
      <c r="S1" t="s">
        <v>18</v>
      </c>
      <c r="T1" t="s">
        <v>19</v>
      </c>
    </row>
    <row r="2" spans="1:20" x14ac:dyDescent="0.25">
      <c r="A2" t="s">
        <v>20</v>
      </c>
      <c r="B2" t="s">
        <v>21</v>
      </c>
      <c r="C2" t="s">
        <v>22</v>
      </c>
      <c r="D2" t="s">
        <v>23</v>
      </c>
      <c r="E2" t="s">
        <v>24</v>
      </c>
      <c r="F2" t="s">
        <v>25</v>
      </c>
      <c r="G2" t="s">
        <v>26</v>
      </c>
      <c r="H2" t="s">
        <v>27</v>
      </c>
      <c r="I2" t="s">
        <v>28</v>
      </c>
      <c r="J2" t="s">
        <v>29</v>
      </c>
      <c r="K2">
        <v>42420</v>
      </c>
      <c r="L2" t="s">
        <v>30</v>
      </c>
      <c r="M2" t="s">
        <v>31</v>
      </c>
      <c r="N2" t="s">
        <v>32</v>
      </c>
      <c r="O2" t="s">
        <v>33</v>
      </c>
      <c r="P2" t="s">
        <v>34</v>
      </c>
      <c r="Q2" s="4" t="s">
        <v>35</v>
      </c>
      <c r="R2">
        <v>2</v>
      </c>
      <c r="S2" t="s">
        <v>36</v>
      </c>
      <c r="T2" t="s">
        <v>37</v>
      </c>
    </row>
    <row r="3" spans="1:20" x14ac:dyDescent="0.25">
      <c r="A3" t="s">
        <v>20</v>
      </c>
      <c r="B3" t="s">
        <v>21</v>
      </c>
      <c r="C3" t="s">
        <v>22</v>
      </c>
      <c r="D3" t="s">
        <v>23</v>
      </c>
      <c r="E3" t="s">
        <v>24</v>
      </c>
      <c r="F3" t="s">
        <v>25</v>
      </c>
      <c r="G3" t="s">
        <v>26</v>
      </c>
      <c r="H3" t="s">
        <v>27</v>
      </c>
      <c r="I3" t="s">
        <v>28</v>
      </c>
      <c r="J3" t="s">
        <v>29</v>
      </c>
      <c r="K3">
        <v>42420</v>
      </c>
      <c r="L3" t="s">
        <v>30</v>
      </c>
      <c r="M3" t="s">
        <v>38</v>
      </c>
      <c r="N3" t="s">
        <v>32</v>
      </c>
      <c r="O3" t="s">
        <v>39</v>
      </c>
      <c r="P3" t="s">
        <v>40</v>
      </c>
      <c r="Q3" s="3">
        <v>731.94</v>
      </c>
      <c r="R3">
        <v>3</v>
      </c>
      <c r="S3" t="s">
        <v>36</v>
      </c>
      <c r="T3" t="s">
        <v>41</v>
      </c>
    </row>
    <row r="4" spans="1:20" x14ac:dyDescent="0.25">
      <c r="A4" t="s">
        <v>42</v>
      </c>
      <c r="B4" t="s">
        <v>43</v>
      </c>
      <c r="C4" t="s">
        <v>44</v>
      </c>
      <c r="D4" t="s">
        <v>45</v>
      </c>
      <c r="E4" t="s">
        <v>46</v>
      </c>
      <c r="F4" t="s">
        <v>47</v>
      </c>
      <c r="G4" t="s">
        <v>48</v>
      </c>
      <c r="H4" t="s">
        <v>27</v>
      </c>
      <c r="I4" t="s">
        <v>49</v>
      </c>
      <c r="J4" t="s">
        <v>50</v>
      </c>
      <c r="K4">
        <v>90036</v>
      </c>
      <c r="L4" t="s">
        <v>51</v>
      </c>
      <c r="M4" t="s">
        <v>52</v>
      </c>
      <c r="N4" t="s">
        <v>53</v>
      </c>
      <c r="O4" t="s">
        <v>54</v>
      </c>
      <c r="P4" t="s">
        <v>55</v>
      </c>
      <c r="Q4" s="2" t="s">
        <v>56</v>
      </c>
      <c r="R4">
        <v>2</v>
      </c>
      <c r="S4" t="s">
        <v>36</v>
      </c>
      <c r="T4" t="s">
        <v>57</v>
      </c>
    </row>
    <row r="5" spans="1:20" x14ac:dyDescent="0.25">
      <c r="A5" t="s">
        <v>58</v>
      </c>
      <c r="B5" t="s">
        <v>59</v>
      </c>
      <c r="C5" t="s">
        <v>60</v>
      </c>
      <c r="D5" t="s">
        <v>45</v>
      </c>
      <c r="E5" t="s">
        <v>61</v>
      </c>
      <c r="F5" t="s">
        <v>62</v>
      </c>
      <c r="G5" t="s">
        <v>26</v>
      </c>
      <c r="H5" t="s">
        <v>27</v>
      </c>
      <c r="I5" t="s">
        <v>63</v>
      </c>
      <c r="J5" t="s">
        <v>64</v>
      </c>
      <c r="K5">
        <v>33311</v>
      </c>
      <c r="L5" t="s">
        <v>30</v>
      </c>
      <c r="M5" t="s">
        <v>65</v>
      </c>
      <c r="N5" t="s">
        <v>32</v>
      </c>
      <c r="O5" t="s">
        <v>66</v>
      </c>
      <c r="P5" t="s">
        <v>67</v>
      </c>
      <c r="Q5" s="2" t="s">
        <v>68</v>
      </c>
      <c r="R5">
        <v>5</v>
      </c>
      <c r="S5" t="s">
        <v>69</v>
      </c>
      <c r="T5" t="s">
        <v>70</v>
      </c>
    </row>
    <row r="6" spans="1:20" x14ac:dyDescent="0.25">
      <c r="A6" t="s">
        <v>58</v>
      </c>
      <c r="B6" t="s">
        <v>59</v>
      </c>
      <c r="C6" t="s">
        <v>60</v>
      </c>
      <c r="D6" t="s">
        <v>45</v>
      </c>
      <c r="E6" t="s">
        <v>61</v>
      </c>
      <c r="F6" t="s">
        <v>62</v>
      </c>
      <c r="G6" t="s">
        <v>26</v>
      </c>
      <c r="H6" t="s">
        <v>27</v>
      </c>
      <c r="I6" t="s">
        <v>63</v>
      </c>
      <c r="J6" t="s">
        <v>64</v>
      </c>
      <c r="K6">
        <v>33311</v>
      </c>
      <c r="L6" t="s">
        <v>30</v>
      </c>
      <c r="M6" t="s">
        <v>71</v>
      </c>
      <c r="N6" t="s">
        <v>53</v>
      </c>
      <c r="O6" t="s">
        <v>72</v>
      </c>
      <c r="P6" t="s">
        <v>73</v>
      </c>
      <c r="Q6" s="2" t="s">
        <v>74</v>
      </c>
      <c r="R6">
        <v>2</v>
      </c>
      <c r="S6" t="s">
        <v>75</v>
      </c>
      <c r="T6" t="s">
        <v>76</v>
      </c>
    </row>
    <row r="7" spans="1:20" x14ac:dyDescent="0.25">
      <c r="A7" t="s">
        <v>77</v>
      </c>
      <c r="B7" t="s">
        <v>78</v>
      </c>
      <c r="C7" t="s">
        <v>79</v>
      </c>
      <c r="D7" t="s">
        <v>45</v>
      </c>
      <c r="E7" t="s">
        <v>80</v>
      </c>
      <c r="F7" t="s">
        <v>81</v>
      </c>
      <c r="G7" t="s">
        <v>26</v>
      </c>
      <c r="H7" t="s">
        <v>27</v>
      </c>
      <c r="I7" t="s">
        <v>49</v>
      </c>
      <c r="J7" t="s">
        <v>50</v>
      </c>
      <c r="K7">
        <v>90032</v>
      </c>
      <c r="L7" t="s">
        <v>51</v>
      </c>
      <c r="M7" t="s">
        <v>82</v>
      </c>
      <c r="N7" t="s">
        <v>32</v>
      </c>
      <c r="O7" t="s">
        <v>83</v>
      </c>
      <c r="P7" t="s">
        <v>84</v>
      </c>
      <c r="Q7" s="2" t="s">
        <v>85</v>
      </c>
      <c r="R7">
        <v>7</v>
      </c>
      <c r="S7" t="s">
        <v>36</v>
      </c>
      <c r="T7" t="s">
        <v>86</v>
      </c>
    </row>
    <row r="8" spans="1:20" x14ac:dyDescent="0.25">
      <c r="A8" t="s">
        <v>77</v>
      </c>
      <c r="B8" t="s">
        <v>78</v>
      </c>
      <c r="C8" t="s">
        <v>79</v>
      </c>
      <c r="D8" t="s">
        <v>45</v>
      </c>
      <c r="E8" t="s">
        <v>80</v>
      </c>
      <c r="F8" t="s">
        <v>81</v>
      </c>
      <c r="G8" t="s">
        <v>26</v>
      </c>
      <c r="H8" t="s">
        <v>27</v>
      </c>
      <c r="I8" t="s">
        <v>49</v>
      </c>
      <c r="J8" t="s">
        <v>50</v>
      </c>
      <c r="K8">
        <v>90032</v>
      </c>
      <c r="L8" t="s">
        <v>51</v>
      </c>
      <c r="M8" t="s">
        <v>87</v>
      </c>
      <c r="N8" t="s">
        <v>53</v>
      </c>
      <c r="O8" t="s">
        <v>88</v>
      </c>
      <c r="P8" t="s">
        <v>89</v>
      </c>
      <c r="Q8" s="2" t="s">
        <v>90</v>
      </c>
      <c r="R8">
        <v>4</v>
      </c>
      <c r="S8" t="s">
        <v>36</v>
      </c>
      <c r="T8" t="s">
        <v>91</v>
      </c>
    </row>
    <row r="9" spans="1:20" x14ac:dyDescent="0.25">
      <c r="A9" t="s">
        <v>77</v>
      </c>
      <c r="B9" t="s">
        <v>78</v>
      </c>
      <c r="C9" t="s">
        <v>79</v>
      </c>
      <c r="D9" t="s">
        <v>45</v>
      </c>
      <c r="E9" t="s">
        <v>80</v>
      </c>
      <c r="F9" t="s">
        <v>81</v>
      </c>
      <c r="G9" t="s">
        <v>26</v>
      </c>
      <c r="H9" t="s">
        <v>27</v>
      </c>
      <c r="I9" t="s">
        <v>49</v>
      </c>
      <c r="J9" t="s">
        <v>50</v>
      </c>
      <c r="K9">
        <v>90032</v>
      </c>
      <c r="L9" t="s">
        <v>51</v>
      </c>
      <c r="M9" t="s">
        <v>92</v>
      </c>
      <c r="N9" t="s">
        <v>93</v>
      </c>
      <c r="O9" t="s">
        <v>94</v>
      </c>
      <c r="P9" t="s">
        <v>95</v>
      </c>
      <c r="Q9" s="2" t="s">
        <v>96</v>
      </c>
      <c r="R9">
        <v>6</v>
      </c>
      <c r="S9" t="s">
        <v>75</v>
      </c>
      <c r="T9" t="s">
        <v>97</v>
      </c>
    </row>
    <row r="10" spans="1:20" x14ac:dyDescent="0.25">
      <c r="A10" t="s">
        <v>98</v>
      </c>
      <c r="B10" t="s">
        <v>99</v>
      </c>
      <c r="C10" t="s">
        <v>100</v>
      </c>
      <c r="D10" t="s">
        <v>45</v>
      </c>
      <c r="E10" t="s">
        <v>101</v>
      </c>
      <c r="F10" t="s">
        <v>102</v>
      </c>
      <c r="G10" t="s">
        <v>26</v>
      </c>
      <c r="H10" t="s">
        <v>27</v>
      </c>
      <c r="I10" t="s">
        <v>103</v>
      </c>
      <c r="J10" t="s">
        <v>104</v>
      </c>
      <c r="K10">
        <v>28027</v>
      </c>
      <c r="L10" t="s">
        <v>30</v>
      </c>
      <c r="M10" t="s">
        <v>105</v>
      </c>
      <c r="N10" t="s">
        <v>53</v>
      </c>
      <c r="O10" t="s">
        <v>106</v>
      </c>
      <c r="P10" t="s">
        <v>107</v>
      </c>
      <c r="Q10" s="2" t="s">
        <v>108</v>
      </c>
      <c r="R10">
        <v>3</v>
      </c>
      <c r="S10" t="s">
        <v>75</v>
      </c>
      <c r="T10" t="s">
        <v>109</v>
      </c>
    </row>
    <row r="11" spans="1:20" x14ac:dyDescent="0.25">
      <c r="A11" t="s">
        <v>98</v>
      </c>
      <c r="B11" t="s">
        <v>99</v>
      </c>
      <c r="C11" t="s">
        <v>100</v>
      </c>
      <c r="D11" t="s">
        <v>45</v>
      </c>
      <c r="E11" t="s">
        <v>101</v>
      </c>
      <c r="F11" t="s">
        <v>102</v>
      </c>
      <c r="G11" t="s">
        <v>26</v>
      </c>
      <c r="H11" t="s">
        <v>27</v>
      </c>
      <c r="I11" t="s">
        <v>103</v>
      </c>
      <c r="J11" t="s">
        <v>104</v>
      </c>
      <c r="K11">
        <v>28027</v>
      </c>
      <c r="L11" t="s">
        <v>30</v>
      </c>
      <c r="M11" t="s">
        <v>110</v>
      </c>
      <c r="N11" t="s">
        <v>53</v>
      </c>
      <c r="O11" t="s">
        <v>111</v>
      </c>
      <c r="P11" t="s">
        <v>112</v>
      </c>
      <c r="Q11" s="2" t="s">
        <v>113</v>
      </c>
      <c r="R11">
        <v>3</v>
      </c>
      <c r="S11" t="s">
        <v>75</v>
      </c>
      <c r="T11" t="s">
        <v>114</v>
      </c>
    </row>
    <row r="12" spans="1:20" x14ac:dyDescent="0.25">
      <c r="A12" t="s">
        <v>115</v>
      </c>
      <c r="B12" t="s">
        <v>116</v>
      </c>
      <c r="C12" t="s">
        <v>117</v>
      </c>
      <c r="D12" t="s">
        <v>23</v>
      </c>
      <c r="E12" t="s">
        <v>118</v>
      </c>
      <c r="F12" t="s">
        <v>119</v>
      </c>
      <c r="G12" t="s">
        <v>26</v>
      </c>
      <c r="H12" t="s">
        <v>27</v>
      </c>
      <c r="I12" t="s">
        <v>120</v>
      </c>
      <c r="J12" t="s">
        <v>121</v>
      </c>
      <c r="K12">
        <v>98103</v>
      </c>
      <c r="L12" t="s">
        <v>51</v>
      </c>
      <c r="M12" t="s">
        <v>122</v>
      </c>
      <c r="N12" t="s">
        <v>53</v>
      </c>
      <c r="O12" t="s">
        <v>123</v>
      </c>
      <c r="P12" t="s">
        <v>124</v>
      </c>
      <c r="Q12" s="2" t="s">
        <v>125</v>
      </c>
      <c r="R12">
        <v>5</v>
      </c>
      <c r="S12" t="s">
        <v>36</v>
      </c>
      <c r="T12" t="s">
        <v>126</v>
      </c>
    </row>
    <row r="13" spans="1:20" x14ac:dyDescent="0.25">
      <c r="A13" t="s">
        <v>115</v>
      </c>
      <c r="B13" t="s">
        <v>116</v>
      </c>
      <c r="C13" t="s">
        <v>117</v>
      </c>
      <c r="D13" t="s">
        <v>23</v>
      </c>
      <c r="E13" t="s">
        <v>118</v>
      </c>
      <c r="F13" t="s">
        <v>119</v>
      </c>
      <c r="G13" t="s">
        <v>26</v>
      </c>
      <c r="H13" t="s">
        <v>27</v>
      </c>
      <c r="I13" t="s">
        <v>120</v>
      </c>
      <c r="J13" t="s">
        <v>121</v>
      </c>
      <c r="K13">
        <v>98103</v>
      </c>
      <c r="L13" t="s">
        <v>51</v>
      </c>
      <c r="M13" t="s">
        <v>127</v>
      </c>
      <c r="N13" t="s">
        <v>32</v>
      </c>
      <c r="O13" t="s">
        <v>83</v>
      </c>
      <c r="P13" t="s">
        <v>128</v>
      </c>
      <c r="Q13" s="2" t="s">
        <v>129</v>
      </c>
      <c r="R13">
        <v>8</v>
      </c>
      <c r="S13" t="s">
        <v>75</v>
      </c>
      <c r="T13" t="s">
        <v>130</v>
      </c>
    </row>
    <row r="14" spans="1:20" x14ac:dyDescent="0.25">
      <c r="A14" t="s">
        <v>44</v>
      </c>
      <c r="B14" t="s">
        <v>116</v>
      </c>
      <c r="C14" t="s">
        <v>117</v>
      </c>
      <c r="D14" t="s">
        <v>23</v>
      </c>
      <c r="E14" t="s">
        <v>118</v>
      </c>
      <c r="F14" t="s">
        <v>119</v>
      </c>
      <c r="G14" t="s">
        <v>26</v>
      </c>
      <c r="H14" t="s">
        <v>27</v>
      </c>
      <c r="I14" t="s">
        <v>120</v>
      </c>
      <c r="J14" t="s">
        <v>121</v>
      </c>
      <c r="K14">
        <v>98103</v>
      </c>
      <c r="L14" t="s">
        <v>51</v>
      </c>
      <c r="M14" t="s">
        <v>131</v>
      </c>
      <c r="N14" t="s">
        <v>32</v>
      </c>
      <c r="O14" t="s">
        <v>66</v>
      </c>
      <c r="P14" t="s">
        <v>132</v>
      </c>
      <c r="Q14" s="2" t="s">
        <v>133</v>
      </c>
      <c r="R14">
        <v>3</v>
      </c>
      <c r="S14" t="s">
        <v>134</v>
      </c>
      <c r="T14" t="s">
        <v>135</v>
      </c>
    </row>
    <row r="15" spans="1:20" x14ac:dyDescent="0.25">
      <c r="A15" t="s">
        <v>136</v>
      </c>
      <c r="B15" t="s">
        <v>137</v>
      </c>
      <c r="C15" t="s">
        <v>138</v>
      </c>
      <c r="D15" t="s">
        <v>139</v>
      </c>
      <c r="E15" t="s">
        <v>140</v>
      </c>
      <c r="F15" t="s">
        <v>141</v>
      </c>
      <c r="G15" t="s">
        <v>26</v>
      </c>
      <c r="H15" t="s">
        <v>27</v>
      </c>
      <c r="I15" t="s">
        <v>142</v>
      </c>
      <c r="J15" t="s">
        <v>143</v>
      </c>
      <c r="L15" t="s">
        <v>51</v>
      </c>
      <c r="M15" t="s">
        <v>144</v>
      </c>
      <c r="N15" t="s">
        <v>93</v>
      </c>
      <c r="O15" t="s">
        <v>145</v>
      </c>
      <c r="P15" t="s">
        <v>146</v>
      </c>
      <c r="Q15" s="2" t="s">
        <v>147</v>
      </c>
      <c r="R15">
        <v>4</v>
      </c>
      <c r="S15" t="s">
        <v>36</v>
      </c>
      <c r="T15" t="s">
        <v>148</v>
      </c>
    </row>
    <row r="16" spans="1:20" x14ac:dyDescent="0.25">
      <c r="A16" t="s">
        <v>136</v>
      </c>
      <c r="B16" t="s">
        <v>137</v>
      </c>
      <c r="C16" t="s">
        <v>138</v>
      </c>
      <c r="D16" t="s">
        <v>139</v>
      </c>
      <c r="E16" t="s">
        <v>140</v>
      </c>
      <c r="F16" t="s">
        <v>141</v>
      </c>
      <c r="G16" t="s">
        <v>26</v>
      </c>
      <c r="H16" t="s">
        <v>27</v>
      </c>
      <c r="I16" t="s">
        <v>142</v>
      </c>
      <c r="J16" t="s">
        <v>143</v>
      </c>
      <c r="K16">
        <v>48205</v>
      </c>
      <c r="L16" t="s">
        <v>51</v>
      </c>
      <c r="M16" t="s">
        <v>149</v>
      </c>
      <c r="N16" t="s">
        <v>53</v>
      </c>
      <c r="O16" t="s">
        <v>111</v>
      </c>
      <c r="P16" t="s">
        <v>150</v>
      </c>
      <c r="Q16" s="2" t="s">
        <v>151</v>
      </c>
      <c r="R16">
        <v>7</v>
      </c>
      <c r="S16" t="s">
        <v>36</v>
      </c>
      <c r="T16" t="s">
        <v>152</v>
      </c>
    </row>
    <row r="17" spans="1:20" x14ac:dyDescent="0.25">
      <c r="A17" t="s">
        <v>153</v>
      </c>
      <c r="B17" t="s">
        <v>154</v>
      </c>
      <c r="C17" t="s">
        <v>155</v>
      </c>
      <c r="D17" t="s">
        <v>45</v>
      </c>
      <c r="E17" t="s">
        <v>156</v>
      </c>
      <c r="F17" t="s">
        <v>157</v>
      </c>
      <c r="G17" t="s">
        <v>26</v>
      </c>
      <c r="H17" t="s">
        <v>27</v>
      </c>
      <c r="I17" t="s">
        <v>158</v>
      </c>
      <c r="J17" t="s">
        <v>159</v>
      </c>
      <c r="K17">
        <v>19140</v>
      </c>
      <c r="L17" t="s">
        <v>160</v>
      </c>
      <c r="M17" t="s">
        <v>161</v>
      </c>
      <c r="N17" t="s">
        <v>32</v>
      </c>
      <c r="O17" t="s">
        <v>39</v>
      </c>
      <c r="P17" t="s">
        <v>162</v>
      </c>
      <c r="Q17" s="2" t="s">
        <v>163</v>
      </c>
      <c r="R17">
        <v>3</v>
      </c>
      <c r="S17" t="s">
        <v>69</v>
      </c>
      <c r="T17" t="s">
        <v>164</v>
      </c>
    </row>
    <row r="18" spans="1:20" x14ac:dyDescent="0.25">
      <c r="A18" t="s">
        <v>153</v>
      </c>
      <c r="B18" t="s">
        <v>154</v>
      </c>
      <c r="C18" t="s">
        <v>155</v>
      </c>
      <c r="D18" t="s">
        <v>45</v>
      </c>
      <c r="E18" t="s">
        <v>165</v>
      </c>
      <c r="F18" t="s">
        <v>157</v>
      </c>
      <c r="G18" t="s">
        <v>26</v>
      </c>
      <c r="H18" t="s">
        <v>27</v>
      </c>
      <c r="I18" t="s">
        <v>158</v>
      </c>
      <c r="J18" t="s">
        <v>159</v>
      </c>
      <c r="K18">
        <v>19140</v>
      </c>
      <c r="L18" t="s">
        <v>160</v>
      </c>
      <c r="M18" t="s">
        <v>166</v>
      </c>
      <c r="N18" t="s">
        <v>53</v>
      </c>
      <c r="O18" t="s">
        <v>167</v>
      </c>
      <c r="P18" t="s">
        <v>168</v>
      </c>
      <c r="Q18" s="2" t="s">
        <v>169</v>
      </c>
      <c r="R18">
        <v>5</v>
      </c>
      <c r="S18" t="s">
        <v>75</v>
      </c>
      <c r="T18" t="s">
        <v>170</v>
      </c>
    </row>
    <row r="19" spans="1:20" x14ac:dyDescent="0.25">
      <c r="A19" t="s">
        <v>171</v>
      </c>
      <c r="B19" t="s">
        <v>172</v>
      </c>
      <c r="C19" t="s">
        <v>173</v>
      </c>
      <c r="D19" t="s">
        <v>23</v>
      </c>
      <c r="E19" t="s">
        <v>174</v>
      </c>
      <c r="F19" t="s">
        <v>175</v>
      </c>
      <c r="G19" t="s">
        <v>26</v>
      </c>
      <c r="H19" t="s">
        <v>27</v>
      </c>
      <c r="I19" t="s">
        <v>176</v>
      </c>
      <c r="J19" t="s">
        <v>177</v>
      </c>
      <c r="K19">
        <v>76106</v>
      </c>
      <c r="L19" t="s">
        <v>178</v>
      </c>
      <c r="M19" t="s">
        <v>179</v>
      </c>
      <c r="N19" t="s">
        <v>53</v>
      </c>
      <c r="O19" t="s">
        <v>72</v>
      </c>
      <c r="P19" t="s">
        <v>180</v>
      </c>
      <c r="Q19" s="2" t="s">
        <v>181</v>
      </c>
      <c r="R19">
        <v>3</v>
      </c>
      <c r="S19" t="s">
        <v>182</v>
      </c>
      <c r="T19" t="s">
        <v>183</v>
      </c>
    </row>
    <row r="20" spans="1:20" x14ac:dyDescent="0.25">
      <c r="A20" t="s">
        <v>184</v>
      </c>
      <c r="B20" t="s">
        <v>185</v>
      </c>
      <c r="C20" t="s">
        <v>186</v>
      </c>
      <c r="D20" t="s">
        <v>139</v>
      </c>
      <c r="E20" t="s">
        <v>187</v>
      </c>
      <c r="F20" t="s">
        <v>188</v>
      </c>
      <c r="G20" t="s">
        <v>26</v>
      </c>
      <c r="H20" t="s">
        <v>27</v>
      </c>
      <c r="I20" t="s">
        <v>189</v>
      </c>
      <c r="J20" t="s">
        <v>190</v>
      </c>
      <c r="K20">
        <v>84084</v>
      </c>
      <c r="L20" t="s">
        <v>51</v>
      </c>
      <c r="M20" t="s">
        <v>191</v>
      </c>
      <c r="N20" t="s">
        <v>93</v>
      </c>
      <c r="O20" t="s">
        <v>94</v>
      </c>
      <c r="P20" t="s">
        <v>192</v>
      </c>
      <c r="Q20" s="2" t="s">
        <v>193</v>
      </c>
      <c r="R20">
        <v>7</v>
      </c>
      <c r="S20" t="s">
        <v>194</v>
      </c>
      <c r="T20" t="s">
        <v>195</v>
      </c>
    </row>
    <row r="21" spans="1:20" x14ac:dyDescent="0.25">
      <c r="A21" t="s">
        <v>184</v>
      </c>
      <c r="B21" t="s">
        <v>185</v>
      </c>
      <c r="C21" t="s">
        <v>186</v>
      </c>
      <c r="D21" t="s">
        <v>139</v>
      </c>
      <c r="E21" t="s">
        <v>187</v>
      </c>
      <c r="F21" t="s">
        <v>188</v>
      </c>
      <c r="G21" t="s">
        <v>26</v>
      </c>
      <c r="H21" t="s">
        <v>27</v>
      </c>
      <c r="I21" t="s">
        <v>189</v>
      </c>
      <c r="J21" t="s">
        <v>190</v>
      </c>
      <c r="K21">
        <v>84084</v>
      </c>
      <c r="L21" t="s">
        <v>51</v>
      </c>
      <c r="M21" t="s">
        <v>191</v>
      </c>
      <c r="N21" t="s">
        <v>93</v>
      </c>
      <c r="O21" t="s">
        <v>94</v>
      </c>
      <c r="P21" t="s">
        <v>192</v>
      </c>
      <c r="Q21" s="2" t="s">
        <v>193</v>
      </c>
      <c r="R21">
        <v>7</v>
      </c>
      <c r="S21" t="s">
        <v>194</v>
      </c>
      <c r="T21" t="s">
        <v>195</v>
      </c>
    </row>
    <row r="22" spans="1:20" x14ac:dyDescent="0.25">
      <c r="A22" t="s">
        <v>196</v>
      </c>
      <c r="B22" t="s">
        <v>197</v>
      </c>
      <c r="C22" t="s">
        <v>198</v>
      </c>
      <c r="D22" t="s">
        <v>45</v>
      </c>
      <c r="E22" t="s">
        <v>199</v>
      </c>
      <c r="F22" t="s">
        <v>200</v>
      </c>
      <c r="G22" t="s">
        <v>26</v>
      </c>
      <c r="H22" t="s">
        <v>27</v>
      </c>
      <c r="I22" t="s">
        <v>201</v>
      </c>
      <c r="J22" t="s">
        <v>50</v>
      </c>
      <c r="K22">
        <v>94109</v>
      </c>
      <c r="L22" t="s">
        <v>51</v>
      </c>
      <c r="M22" t="s">
        <v>202</v>
      </c>
      <c r="N22" t="s">
        <v>53</v>
      </c>
      <c r="O22" t="s">
        <v>106</v>
      </c>
      <c r="P22" t="s">
        <v>203</v>
      </c>
      <c r="Q22" s="2" t="s">
        <v>204</v>
      </c>
      <c r="R22">
        <v>4</v>
      </c>
      <c r="S22" t="s">
        <v>205</v>
      </c>
      <c r="T22" t="s">
        <v>204</v>
      </c>
    </row>
    <row r="23" spans="1:20" x14ac:dyDescent="0.25">
      <c r="A23" t="s">
        <v>196</v>
      </c>
      <c r="B23" t="s">
        <v>197</v>
      </c>
      <c r="C23" t="s">
        <v>198</v>
      </c>
      <c r="D23" t="s">
        <v>45</v>
      </c>
      <c r="E23" t="s">
        <v>199</v>
      </c>
      <c r="F23" t="s">
        <v>200</v>
      </c>
      <c r="G23" t="s">
        <v>26</v>
      </c>
      <c r="H23" t="s">
        <v>27</v>
      </c>
      <c r="I23" t="s">
        <v>201</v>
      </c>
      <c r="J23" t="s">
        <v>50</v>
      </c>
      <c r="K23">
        <v>94109</v>
      </c>
      <c r="L23" t="s">
        <v>51</v>
      </c>
      <c r="M23" t="s">
        <v>206</v>
      </c>
      <c r="N23" t="s">
        <v>93</v>
      </c>
      <c r="O23" t="s">
        <v>94</v>
      </c>
      <c r="P23" t="s">
        <v>207</v>
      </c>
      <c r="Q23" s="2" t="s">
        <v>208</v>
      </c>
      <c r="R23">
        <v>3</v>
      </c>
      <c r="S23" t="s">
        <v>75</v>
      </c>
      <c r="T23" t="s">
        <v>209</v>
      </c>
    </row>
    <row r="24" spans="1:20" x14ac:dyDescent="0.25">
      <c r="A24" t="s">
        <v>210</v>
      </c>
      <c r="B24" t="s">
        <v>211</v>
      </c>
      <c r="C24" t="s">
        <v>212</v>
      </c>
      <c r="D24" t="s">
        <v>45</v>
      </c>
      <c r="E24" t="s">
        <v>213</v>
      </c>
      <c r="F24" t="s">
        <v>214</v>
      </c>
      <c r="G24" t="s">
        <v>26</v>
      </c>
      <c r="H24" t="s">
        <v>27</v>
      </c>
      <c r="I24" t="s">
        <v>215</v>
      </c>
      <c r="J24" t="s">
        <v>216</v>
      </c>
      <c r="K24">
        <v>55407</v>
      </c>
      <c r="L24" t="s">
        <v>178</v>
      </c>
      <c r="M24" t="s">
        <v>217</v>
      </c>
      <c r="N24" t="s">
        <v>32</v>
      </c>
      <c r="O24" t="s">
        <v>66</v>
      </c>
      <c r="P24" t="s">
        <v>218</v>
      </c>
      <c r="Q24" s="2" t="s">
        <v>219</v>
      </c>
      <c r="R24">
        <v>2</v>
      </c>
      <c r="S24" t="s">
        <v>194</v>
      </c>
      <c r="T24" t="s">
        <v>220</v>
      </c>
    </row>
    <row r="25" spans="1:20" x14ac:dyDescent="0.25">
      <c r="A25" t="s">
        <v>221</v>
      </c>
      <c r="B25" t="s">
        <v>222</v>
      </c>
      <c r="C25" t="s">
        <v>223</v>
      </c>
      <c r="D25" t="s">
        <v>23</v>
      </c>
      <c r="E25" t="s">
        <v>224</v>
      </c>
      <c r="F25" t="s">
        <v>225</v>
      </c>
      <c r="G25" t="s">
        <v>26</v>
      </c>
      <c r="H25" t="s">
        <v>27</v>
      </c>
      <c r="I25" t="s">
        <v>142</v>
      </c>
      <c r="J25" t="s">
        <v>143</v>
      </c>
      <c r="K25">
        <v>48219</v>
      </c>
      <c r="L25" t="s">
        <v>178</v>
      </c>
      <c r="M25" t="s">
        <v>226</v>
      </c>
      <c r="N25" t="s">
        <v>53</v>
      </c>
      <c r="O25" t="s">
        <v>123</v>
      </c>
      <c r="P25" t="s">
        <v>227</v>
      </c>
      <c r="Q25" s="2" t="s">
        <v>228</v>
      </c>
      <c r="R25">
        <v>4</v>
      </c>
      <c r="S25" t="s">
        <v>75</v>
      </c>
      <c r="T25" t="s">
        <v>229</v>
      </c>
    </row>
    <row r="26" spans="1:20" x14ac:dyDescent="0.25">
      <c r="A26" t="s">
        <v>230</v>
      </c>
      <c r="B26" t="s">
        <v>22</v>
      </c>
      <c r="C26" t="s">
        <v>231</v>
      </c>
      <c r="D26" t="s">
        <v>45</v>
      </c>
      <c r="E26" t="s">
        <v>232</v>
      </c>
      <c r="F26" t="s">
        <v>233</v>
      </c>
      <c r="G26" t="s">
        <v>26</v>
      </c>
      <c r="H26" t="s">
        <v>27</v>
      </c>
      <c r="I26" t="s">
        <v>234</v>
      </c>
      <c r="J26" t="s">
        <v>235</v>
      </c>
      <c r="K26">
        <v>10024</v>
      </c>
      <c r="L26" t="s">
        <v>160</v>
      </c>
      <c r="M26" t="s">
        <v>236</v>
      </c>
      <c r="N26" t="s">
        <v>93</v>
      </c>
      <c r="O26" t="s">
        <v>145</v>
      </c>
      <c r="P26" t="s">
        <v>237</v>
      </c>
      <c r="Q26" s="2" t="s">
        <v>238</v>
      </c>
      <c r="R26">
        <v>3</v>
      </c>
      <c r="S26" t="s">
        <v>36</v>
      </c>
      <c r="T26" t="s">
        <v>239</v>
      </c>
    </row>
    <row r="27" spans="1:20" x14ac:dyDescent="0.25">
      <c r="A27" t="s">
        <v>240</v>
      </c>
      <c r="B27" t="s">
        <v>241</v>
      </c>
      <c r="C27" t="s">
        <v>242</v>
      </c>
      <c r="D27" t="s">
        <v>23</v>
      </c>
      <c r="E27" t="s">
        <v>243</v>
      </c>
      <c r="F27" t="s">
        <v>244</v>
      </c>
      <c r="G27" t="s">
        <v>48</v>
      </c>
      <c r="H27" t="s">
        <v>27</v>
      </c>
      <c r="I27" t="s">
        <v>245</v>
      </c>
      <c r="J27" t="s">
        <v>177</v>
      </c>
      <c r="K27">
        <v>78212</v>
      </c>
      <c r="L27" t="s">
        <v>178</v>
      </c>
      <c r="M27" t="s">
        <v>246</v>
      </c>
      <c r="N27" t="s">
        <v>53</v>
      </c>
      <c r="O27" t="s">
        <v>111</v>
      </c>
      <c r="P27" t="s">
        <v>247</v>
      </c>
      <c r="Q27" s="2" t="s">
        <v>248</v>
      </c>
      <c r="R27">
        <v>3</v>
      </c>
      <c r="S27" t="s">
        <v>36</v>
      </c>
      <c r="T27" t="s">
        <v>249</v>
      </c>
    </row>
    <row r="28" spans="1:20" x14ac:dyDescent="0.25">
      <c r="A28" t="s">
        <v>250</v>
      </c>
      <c r="B28" t="s">
        <v>251</v>
      </c>
      <c r="C28" t="s">
        <v>252</v>
      </c>
      <c r="D28" t="s">
        <v>23</v>
      </c>
      <c r="E28" t="s">
        <v>253</v>
      </c>
      <c r="F28" t="s">
        <v>254</v>
      </c>
      <c r="G28" t="s">
        <v>255</v>
      </c>
      <c r="H28" t="s">
        <v>27</v>
      </c>
      <c r="I28" t="s">
        <v>256</v>
      </c>
      <c r="J28" t="s">
        <v>257</v>
      </c>
      <c r="K28">
        <v>60623</v>
      </c>
      <c r="L28" t="s">
        <v>178</v>
      </c>
      <c r="M28" t="s">
        <v>258</v>
      </c>
      <c r="N28" t="s">
        <v>53</v>
      </c>
      <c r="O28" t="s">
        <v>259</v>
      </c>
      <c r="P28" t="s">
        <v>260</v>
      </c>
      <c r="Q28" s="2" t="s">
        <v>204</v>
      </c>
      <c r="R28">
        <v>7</v>
      </c>
      <c r="S28" t="s">
        <v>204</v>
      </c>
      <c r="T28" t="s">
        <v>261</v>
      </c>
    </row>
    <row r="29" spans="1:20" x14ac:dyDescent="0.25">
      <c r="A29" t="s">
        <v>250</v>
      </c>
      <c r="B29" t="s">
        <v>251</v>
      </c>
      <c r="C29" t="s">
        <v>252</v>
      </c>
      <c r="D29" t="s">
        <v>23</v>
      </c>
      <c r="E29" t="s">
        <v>253</v>
      </c>
      <c r="F29" t="s">
        <v>254</v>
      </c>
      <c r="G29" t="s">
        <v>255</v>
      </c>
      <c r="H29" t="s">
        <v>27</v>
      </c>
      <c r="I29" t="s">
        <v>256</v>
      </c>
      <c r="J29" t="s">
        <v>257</v>
      </c>
      <c r="K29">
        <v>60623</v>
      </c>
      <c r="L29" t="s">
        <v>178</v>
      </c>
      <c r="M29" t="s">
        <v>262</v>
      </c>
      <c r="N29" t="s">
        <v>32</v>
      </c>
      <c r="O29" t="s">
        <v>83</v>
      </c>
      <c r="P29" t="s">
        <v>263</v>
      </c>
      <c r="Q29" s="2" t="s">
        <v>264</v>
      </c>
      <c r="R29">
        <v>6</v>
      </c>
      <c r="S29" t="s">
        <v>75</v>
      </c>
      <c r="T29" t="s">
        <v>265</v>
      </c>
    </row>
    <row r="30" spans="1:20" x14ac:dyDescent="0.25">
      <c r="A30" t="s">
        <v>266</v>
      </c>
      <c r="B30" t="s">
        <v>267</v>
      </c>
      <c r="C30" t="s">
        <v>268</v>
      </c>
      <c r="D30" t="s">
        <v>23</v>
      </c>
      <c r="E30" t="s">
        <v>269</v>
      </c>
      <c r="F30" t="s">
        <v>270</v>
      </c>
      <c r="G30" t="s">
        <v>26</v>
      </c>
      <c r="H30" t="s">
        <v>27</v>
      </c>
      <c r="I30" t="s">
        <v>271</v>
      </c>
      <c r="J30" t="s">
        <v>64</v>
      </c>
      <c r="K30">
        <v>32257</v>
      </c>
      <c r="L30" t="s">
        <v>30</v>
      </c>
      <c r="M30" t="s">
        <v>272</v>
      </c>
      <c r="N30" t="s">
        <v>93</v>
      </c>
      <c r="O30" t="s">
        <v>94</v>
      </c>
      <c r="P30" t="s">
        <v>273</v>
      </c>
      <c r="Q30" s="2" t="s">
        <v>274</v>
      </c>
      <c r="R30">
        <v>5</v>
      </c>
      <c r="S30" t="s">
        <v>134</v>
      </c>
      <c r="T30" t="s">
        <v>275</v>
      </c>
    </row>
    <row r="31" spans="1:20" x14ac:dyDescent="0.25">
      <c r="A31" t="s">
        <v>266</v>
      </c>
      <c r="B31" t="s">
        <v>267</v>
      </c>
      <c r="C31" t="s">
        <v>268</v>
      </c>
      <c r="D31" t="s">
        <v>23</v>
      </c>
      <c r="E31" t="s">
        <v>269</v>
      </c>
      <c r="F31" t="s">
        <v>270</v>
      </c>
      <c r="G31" t="s">
        <v>26</v>
      </c>
      <c r="H31" t="s">
        <v>27</v>
      </c>
      <c r="I31" t="s">
        <v>271</v>
      </c>
      <c r="J31" t="s">
        <v>64</v>
      </c>
      <c r="K31">
        <v>32257</v>
      </c>
      <c r="L31" t="s">
        <v>30</v>
      </c>
      <c r="M31" t="s">
        <v>276</v>
      </c>
      <c r="N31" t="s">
        <v>53</v>
      </c>
      <c r="O31" t="s">
        <v>106</v>
      </c>
      <c r="P31" t="s">
        <v>277</v>
      </c>
      <c r="Q31" s="2" t="s">
        <v>278</v>
      </c>
      <c r="R31">
        <v>8</v>
      </c>
      <c r="S31" t="s">
        <v>134</v>
      </c>
      <c r="T31" t="s">
        <v>279</v>
      </c>
    </row>
    <row r="32" spans="1:20" x14ac:dyDescent="0.25">
      <c r="A32" t="s">
        <v>280</v>
      </c>
      <c r="B32" t="s">
        <v>281</v>
      </c>
      <c r="C32" t="s">
        <v>155</v>
      </c>
      <c r="D32" t="s">
        <v>139</v>
      </c>
      <c r="E32" t="s">
        <v>282</v>
      </c>
      <c r="F32" t="s">
        <v>283</v>
      </c>
      <c r="G32" t="s">
        <v>26</v>
      </c>
      <c r="H32" t="s">
        <v>27</v>
      </c>
      <c r="I32" t="s">
        <v>284</v>
      </c>
      <c r="J32" t="s">
        <v>257</v>
      </c>
      <c r="K32">
        <v>60540</v>
      </c>
      <c r="L32" t="s">
        <v>178</v>
      </c>
      <c r="M32" t="s">
        <v>285</v>
      </c>
      <c r="N32" t="s">
        <v>32</v>
      </c>
      <c r="O32" t="s">
        <v>39</v>
      </c>
      <c r="P32" t="s">
        <v>286</v>
      </c>
      <c r="Q32" s="2" t="s">
        <v>287</v>
      </c>
      <c r="R32">
        <v>4</v>
      </c>
      <c r="S32" t="s">
        <v>69</v>
      </c>
      <c r="T32" t="s">
        <v>288</v>
      </c>
    </row>
    <row r="33" spans="1:20" x14ac:dyDescent="0.25">
      <c r="A33" t="s">
        <v>280</v>
      </c>
      <c r="B33" t="s">
        <v>281</v>
      </c>
      <c r="C33" t="s">
        <v>155</v>
      </c>
      <c r="D33" t="s">
        <v>139</v>
      </c>
      <c r="E33" t="s">
        <v>282</v>
      </c>
      <c r="F33" t="s">
        <v>289</v>
      </c>
      <c r="G33" t="s">
        <v>26</v>
      </c>
      <c r="H33" t="s">
        <v>27</v>
      </c>
      <c r="I33" t="s">
        <v>284</v>
      </c>
      <c r="J33" t="s">
        <v>257</v>
      </c>
      <c r="K33">
        <v>60540</v>
      </c>
      <c r="L33" t="s">
        <v>178</v>
      </c>
      <c r="M33" t="s">
        <v>290</v>
      </c>
      <c r="N33" t="s">
        <v>93</v>
      </c>
      <c r="O33" t="s">
        <v>291</v>
      </c>
      <c r="P33" t="s">
        <v>292</v>
      </c>
      <c r="Q33" s="2" t="s">
        <v>293</v>
      </c>
      <c r="R33">
        <v>3</v>
      </c>
      <c r="S33" t="s">
        <v>194</v>
      </c>
      <c r="T33" t="s">
        <v>294</v>
      </c>
    </row>
    <row r="34" spans="1:20" x14ac:dyDescent="0.25">
      <c r="A34" t="s">
        <v>295</v>
      </c>
      <c r="B34" t="s">
        <v>296</v>
      </c>
      <c r="C34" t="s">
        <v>44</v>
      </c>
      <c r="D34" t="s">
        <v>45</v>
      </c>
      <c r="E34" t="s">
        <v>297</v>
      </c>
      <c r="F34" t="s">
        <v>298</v>
      </c>
      <c r="G34" t="s">
        <v>26</v>
      </c>
      <c r="H34" t="s">
        <v>27</v>
      </c>
      <c r="I34" t="s">
        <v>299</v>
      </c>
      <c r="J34" t="s">
        <v>300</v>
      </c>
      <c r="K34">
        <v>46614</v>
      </c>
      <c r="L34" t="s">
        <v>178</v>
      </c>
      <c r="M34" t="s">
        <v>301</v>
      </c>
      <c r="N34" t="s">
        <v>32</v>
      </c>
      <c r="O34" t="s">
        <v>39</v>
      </c>
      <c r="P34" t="s">
        <v>286</v>
      </c>
      <c r="Q34" s="2" t="s">
        <v>302</v>
      </c>
      <c r="R34">
        <v>7</v>
      </c>
      <c r="S34" t="s">
        <v>69</v>
      </c>
      <c r="T34" t="s">
        <v>303</v>
      </c>
    </row>
    <row r="35" spans="1:20" x14ac:dyDescent="0.25">
      <c r="A35" t="s">
        <v>295</v>
      </c>
      <c r="B35" t="s">
        <v>296</v>
      </c>
      <c r="C35" t="s">
        <v>304</v>
      </c>
      <c r="D35" t="s">
        <v>45</v>
      </c>
      <c r="E35" t="s">
        <v>297</v>
      </c>
      <c r="F35" t="s">
        <v>298</v>
      </c>
      <c r="G35" t="s">
        <v>26</v>
      </c>
      <c r="H35" t="s">
        <v>27</v>
      </c>
      <c r="I35" t="s">
        <v>299</v>
      </c>
      <c r="J35" t="s">
        <v>300</v>
      </c>
      <c r="K35">
        <v>46614</v>
      </c>
      <c r="L35" t="s">
        <v>178</v>
      </c>
      <c r="M35" t="s">
        <v>305</v>
      </c>
      <c r="N35" t="s">
        <v>53</v>
      </c>
      <c r="O35" t="s">
        <v>167</v>
      </c>
      <c r="P35" t="s">
        <v>306</v>
      </c>
      <c r="Q35" s="2" t="s">
        <v>307</v>
      </c>
      <c r="R35">
        <v>6</v>
      </c>
      <c r="S35" t="s">
        <v>75</v>
      </c>
      <c r="T35" t="s">
        <v>308</v>
      </c>
    </row>
    <row r="36" spans="1:20" x14ac:dyDescent="0.25">
      <c r="A36" t="s">
        <v>309</v>
      </c>
      <c r="B36" t="s">
        <v>310</v>
      </c>
      <c r="C36" t="s">
        <v>311</v>
      </c>
      <c r="D36" t="s">
        <v>45</v>
      </c>
      <c r="E36" t="s">
        <v>312</v>
      </c>
      <c r="F36" t="s">
        <v>313</v>
      </c>
      <c r="G36" t="s">
        <v>48</v>
      </c>
      <c r="H36" t="s">
        <v>27</v>
      </c>
      <c r="I36" t="s">
        <v>314</v>
      </c>
      <c r="J36" t="s">
        <v>315</v>
      </c>
      <c r="K36">
        <v>97229</v>
      </c>
      <c r="L36" t="s">
        <v>51</v>
      </c>
      <c r="M36" t="s">
        <v>316</v>
      </c>
      <c r="N36" t="s">
        <v>32</v>
      </c>
      <c r="O36" t="s">
        <v>83</v>
      </c>
      <c r="P36" t="s">
        <v>317</v>
      </c>
      <c r="Q36" s="2" t="s">
        <v>318</v>
      </c>
      <c r="R36">
        <v>4</v>
      </c>
      <c r="S36" t="s">
        <v>75</v>
      </c>
      <c r="T36" t="s">
        <v>319</v>
      </c>
    </row>
    <row r="37" spans="1:20" x14ac:dyDescent="0.25">
      <c r="A37" t="s">
        <v>320</v>
      </c>
      <c r="B37" t="s">
        <v>321</v>
      </c>
      <c r="C37" t="s">
        <v>322</v>
      </c>
      <c r="D37" t="s">
        <v>45</v>
      </c>
      <c r="E37" t="s">
        <v>323</v>
      </c>
      <c r="F37" t="s">
        <v>324</v>
      </c>
      <c r="G37" t="s">
        <v>26</v>
      </c>
      <c r="H37" t="s">
        <v>27</v>
      </c>
      <c r="I37" t="s">
        <v>120</v>
      </c>
      <c r="J37" t="s">
        <v>121</v>
      </c>
      <c r="K37">
        <v>98115</v>
      </c>
      <c r="L37" t="s">
        <v>51</v>
      </c>
      <c r="M37" t="s">
        <v>325</v>
      </c>
      <c r="N37" t="s">
        <v>53</v>
      </c>
      <c r="O37" t="s">
        <v>123</v>
      </c>
      <c r="P37" t="s">
        <v>326</v>
      </c>
      <c r="Q37" s="2" t="s">
        <v>327</v>
      </c>
      <c r="R37">
        <v>8</v>
      </c>
      <c r="S37" t="s">
        <v>328</v>
      </c>
      <c r="T37" t="s">
        <v>329</v>
      </c>
    </row>
    <row r="38" spans="1:20" x14ac:dyDescent="0.25">
      <c r="A38" t="s">
        <v>320</v>
      </c>
      <c r="B38" t="s">
        <v>321</v>
      </c>
      <c r="C38" t="s">
        <v>322</v>
      </c>
      <c r="D38" t="s">
        <v>45</v>
      </c>
      <c r="E38" t="s">
        <v>323</v>
      </c>
      <c r="F38" t="s">
        <v>324</v>
      </c>
      <c r="G38" t="s">
        <v>26</v>
      </c>
      <c r="H38" t="s">
        <v>27</v>
      </c>
      <c r="I38" t="s">
        <v>120</v>
      </c>
      <c r="J38" t="s">
        <v>121</v>
      </c>
      <c r="K38">
        <v>98115</v>
      </c>
      <c r="L38" t="s">
        <v>51</v>
      </c>
      <c r="M38" t="s">
        <v>330</v>
      </c>
      <c r="N38" t="s">
        <v>93</v>
      </c>
      <c r="O38" t="s">
        <v>331</v>
      </c>
      <c r="P38" t="s">
        <v>332</v>
      </c>
      <c r="Q38" s="2" t="s">
        <v>333</v>
      </c>
      <c r="R38">
        <v>3</v>
      </c>
      <c r="S38" t="s">
        <v>75</v>
      </c>
      <c r="T38" t="s">
        <v>334</v>
      </c>
    </row>
    <row r="39" spans="1:20" x14ac:dyDescent="0.25">
      <c r="A39" t="s">
        <v>335</v>
      </c>
      <c r="B39" t="s">
        <v>336</v>
      </c>
      <c r="C39" t="s">
        <v>337</v>
      </c>
      <c r="D39" t="s">
        <v>139</v>
      </c>
      <c r="E39" t="s">
        <v>338</v>
      </c>
      <c r="F39" t="s">
        <v>339</v>
      </c>
      <c r="G39" t="s">
        <v>26</v>
      </c>
      <c r="H39" t="s">
        <v>27</v>
      </c>
      <c r="I39" t="s">
        <v>340</v>
      </c>
      <c r="J39" t="s">
        <v>341</v>
      </c>
      <c r="K39">
        <v>23173</v>
      </c>
      <c r="L39" t="s">
        <v>30</v>
      </c>
      <c r="M39" t="s">
        <v>342</v>
      </c>
      <c r="N39" t="s">
        <v>32</v>
      </c>
      <c r="O39" t="s">
        <v>83</v>
      </c>
      <c r="P39" t="s">
        <v>343</v>
      </c>
      <c r="Q39" s="2" t="s">
        <v>344</v>
      </c>
      <c r="R39">
        <v>6</v>
      </c>
      <c r="S39" t="s">
        <v>75</v>
      </c>
      <c r="T39" t="s">
        <v>345</v>
      </c>
    </row>
    <row r="40" spans="1:20" x14ac:dyDescent="0.25">
      <c r="A40" t="s">
        <v>346</v>
      </c>
      <c r="B40" t="s">
        <v>347</v>
      </c>
      <c r="C40" t="s">
        <v>348</v>
      </c>
      <c r="D40" t="s">
        <v>45</v>
      </c>
      <c r="E40" t="s">
        <v>349</v>
      </c>
      <c r="F40" t="s">
        <v>350</v>
      </c>
      <c r="G40" t="s">
        <v>26</v>
      </c>
      <c r="H40" t="s">
        <v>27</v>
      </c>
      <c r="I40" t="s">
        <v>158</v>
      </c>
      <c r="J40" t="s">
        <v>159</v>
      </c>
      <c r="K40">
        <v>19120</v>
      </c>
      <c r="L40" t="s">
        <v>160</v>
      </c>
      <c r="M40" t="s">
        <v>351</v>
      </c>
      <c r="N40" t="s">
        <v>53</v>
      </c>
      <c r="O40" t="s">
        <v>111</v>
      </c>
      <c r="P40" t="s">
        <v>247</v>
      </c>
      <c r="Q40" s="2" t="s">
        <v>352</v>
      </c>
      <c r="R40">
        <v>3</v>
      </c>
      <c r="S40" t="s">
        <v>75</v>
      </c>
      <c r="T40" t="s">
        <v>353</v>
      </c>
    </row>
    <row r="41" spans="1:20" x14ac:dyDescent="0.25">
      <c r="A41" t="s">
        <v>354</v>
      </c>
      <c r="B41" t="s">
        <v>355</v>
      </c>
      <c r="C41" t="s">
        <v>356</v>
      </c>
      <c r="D41" t="s">
        <v>45</v>
      </c>
      <c r="E41" t="s">
        <v>357</v>
      </c>
      <c r="F41" t="s">
        <v>358</v>
      </c>
      <c r="G41" t="s">
        <v>26</v>
      </c>
      <c r="H41" t="s">
        <v>27</v>
      </c>
      <c r="I41" t="s">
        <v>359</v>
      </c>
      <c r="J41" t="s">
        <v>360</v>
      </c>
      <c r="K41">
        <v>57104</v>
      </c>
      <c r="L41" t="s">
        <v>178</v>
      </c>
      <c r="M41" t="s">
        <v>361</v>
      </c>
      <c r="N41" t="s">
        <v>93</v>
      </c>
      <c r="O41" t="s">
        <v>291</v>
      </c>
      <c r="P41" t="s">
        <v>362</v>
      </c>
      <c r="Q41" s="2" t="s">
        <v>363</v>
      </c>
      <c r="R41">
        <v>5</v>
      </c>
      <c r="S41" t="s">
        <v>194</v>
      </c>
      <c r="T41" t="s">
        <v>364</v>
      </c>
    </row>
    <row r="42" spans="1:20" x14ac:dyDescent="0.25">
      <c r="A42" t="s">
        <v>365</v>
      </c>
      <c r="B42" t="s">
        <v>355</v>
      </c>
      <c r="C42" t="s">
        <v>356</v>
      </c>
      <c r="D42" t="s">
        <v>45</v>
      </c>
      <c r="E42" t="s">
        <v>357</v>
      </c>
      <c r="F42" t="s">
        <v>358</v>
      </c>
      <c r="G42" t="s">
        <v>26</v>
      </c>
      <c r="H42" t="s">
        <v>27</v>
      </c>
      <c r="I42" t="s">
        <v>359</v>
      </c>
      <c r="J42" t="s">
        <v>360</v>
      </c>
      <c r="K42">
        <v>57104</v>
      </c>
      <c r="L42" t="s">
        <v>178</v>
      </c>
      <c r="M42" t="s">
        <v>361</v>
      </c>
      <c r="N42" t="s">
        <v>93</v>
      </c>
      <c r="O42" t="s">
        <v>291</v>
      </c>
      <c r="P42" t="s">
        <v>362</v>
      </c>
      <c r="Q42" s="2" t="s">
        <v>363</v>
      </c>
      <c r="R42">
        <v>5</v>
      </c>
      <c r="S42" t="s">
        <v>194</v>
      </c>
      <c r="T42" t="s">
        <v>364</v>
      </c>
    </row>
    <row r="43" spans="1:20" x14ac:dyDescent="0.25">
      <c r="A43" t="s">
        <v>366</v>
      </c>
      <c r="B43" t="s">
        <v>367</v>
      </c>
      <c r="C43" t="s">
        <v>368</v>
      </c>
      <c r="D43" t="s">
        <v>45</v>
      </c>
      <c r="E43" t="s">
        <v>369</v>
      </c>
      <c r="F43" t="s">
        <v>370</v>
      </c>
      <c r="G43" t="s">
        <v>26</v>
      </c>
      <c r="H43" t="s">
        <v>27</v>
      </c>
      <c r="I43" t="s">
        <v>120</v>
      </c>
      <c r="J43" t="s">
        <v>121</v>
      </c>
      <c r="K43">
        <v>98103</v>
      </c>
      <c r="L43" t="s">
        <v>51</v>
      </c>
      <c r="M43" t="s">
        <v>371</v>
      </c>
      <c r="N43" t="s">
        <v>93</v>
      </c>
      <c r="O43" t="s">
        <v>94</v>
      </c>
      <c r="P43" t="s">
        <v>372</v>
      </c>
      <c r="Q43" s="2" t="s">
        <v>373</v>
      </c>
      <c r="R43">
        <v>2</v>
      </c>
      <c r="S43" t="s">
        <v>374</v>
      </c>
      <c r="T43" t="s">
        <v>375</v>
      </c>
    </row>
    <row r="44" spans="1:20" x14ac:dyDescent="0.25">
      <c r="A44" t="s">
        <v>376</v>
      </c>
      <c r="B44" t="s">
        <v>377</v>
      </c>
      <c r="C44" t="s">
        <v>378</v>
      </c>
      <c r="D44" t="s">
        <v>45</v>
      </c>
      <c r="E44" t="s">
        <v>379</v>
      </c>
      <c r="F44" t="s">
        <v>380</v>
      </c>
      <c r="G44" t="s">
        <v>26</v>
      </c>
      <c r="H44" t="s">
        <v>27</v>
      </c>
      <c r="I44" t="s">
        <v>381</v>
      </c>
      <c r="J44" t="s">
        <v>300</v>
      </c>
      <c r="K44">
        <v>46402</v>
      </c>
      <c r="L44" t="s">
        <v>178</v>
      </c>
      <c r="M44" t="s">
        <v>382</v>
      </c>
      <c r="N44" t="s">
        <v>53</v>
      </c>
      <c r="O44" t="s">
        <v>111</v>
      </c>
      <c r="P44" t="s">
        <v>383</v>
      </c>
      <c r="Q44" s="2" t="s">
        <v>384</v>
      </c>
      <c r="R44">
        <v>3</v>
      </c>
      <c r="S44" t="s">
        <v>75</v>
      </c>
      <c r="T44" t="s">
        <v>385</v>
      </c>
    </row>
    <row r="45" spans="1:20" x14ac:dyDescent="0.25">
      <c r="A45" t="s">
        <v>386</v>
      </c>
      <c r="B45" t="s">
        <v>172</v>
      </c>
      <c r="C45" t="s">
        <v>173</v>
      </c>
      <c r="D45" t="s">
        <v>45</v>
      </c>
      <c r="E45" t="s">
        <v>387</v>
      </c>
      <c r="F45" t="s">
        <v>388</v>
      </c>
      <c r="G45" t="s">
        <v>26</v>
      </c>
      <c r="H45" t="s">
        <v>27</v>
      </c>
      <c r="I45" t="s">
        <v>271</v>
      </c>
      <c r="J45" t="s">
        <v>64</v>
      </c>
      <c r="K45">
        <v>32256</v>
      </c>
      <c r="L45" t="s">
        <v>30</v>
      </c>
      <c r="M45" t="s">
        <v>389</v>
      </c>
      <c r="N45" t="s">
        <v>53</v>
      </c>
      <c r="O45" t="s">
        <v>106</v>
      </c>
      <c r="P45" t="s">
        <v>390</v>
      </c>
      <c r="Q45" s="2" t="s">
        <v>391</v>
      </c>
      <c r="R45">
        <v>2</v>
      </c>
      <c r="S45" t="s">
        <v>75</v>
      </c>
      <c r="T45" t="s">
        <v>392</v>
      </c>
    </row>
    <row r="46" spans="1:20" x14ac:dyDescent="0.25">
      <c r="A46" t="s">
        <v>386</v>
      </c>
      <c r="B46" t="s">
        <v>172</v>
      </c>
      <c r="C46" t="s">
        <v>173</v>
      </c>
      <c r="D46" t="s">
        <v>45</v>
      </c>
      <c r="E46" t="s">
        <v>387</v>
      </c>
      <c r="F46" t="s">
        <v>388</v>
      </c>
      <c r="G46" t="s">
        <v>26</v>
      </c>
      <c r="H46" t="s">
        <v>27</v>
      </c>
      <c r="I46" t="s">
        <v>271</v>
      </c>
      <c r="J46" t="s">
        <v>64</v>
      </c>
      <c r="K46">
        <v>32256</v>
      </c>
      <c r="L46" t="s">
        <v>30</v>
      </c>
      <c r="M46" t="s">
        <v>393</v>
      </c>
      <c r="N46" t="s">
        <v>93</v>
      </c>
      <c r="O46" t="s">
        <v>94</v>
      </c>
      <c r="P46" t="s">
        <v>394</v>
      </c>
      <c r="Q46" s="2" t="s">
        <v>395</v>
      </c>
      <c r="R46">
        <v>3</v>
      </c>
      <c r="S46" t="s">
        <v>75</v>
      </c>
      <c r="T46" t="s">
        <v>396</v>
      </c>
    </row>
    <row r="47" spans="1:20" x14ac:dyDescent="0.25">
      <c r="A47" t="s">
        <v>397</v>
      </c>
      <c r="B47" t="s">
        <v>398</v>
      </c>
      <c r="C47" t="s">
        <v>173</v>
      </c>
      <c r="D47" t="s">
        <v>45</v>
      </c>
      <c r="E47" t="s">
        <v>399</v>
      </c>
      <c r="F47" t="s">
        <v>400</v>
      </c>
      <c r="G47" t="s">
        <v>26</v>
      </c>
      <c r="H47" t="s">
        <v>27</v>
      </c>
      <c r="I47" t="s">
        <v>401</v>
      </c>
      <c r="J47" t="s">
        <v>64</v>
      </c>
      <c r="K47">
        <v>32256</v>
      </c>
      <c r="L47" t="s">
        <v>30</v>
      </c>
      <c r="M47" t="s">
        <v>393</v>
      </c>
      <c r="N47" t="s">
        <v>93</v>
      </c>
      <c r="O47" t="s">
        <v>94</v>
      </c>
      <c r="P47" t="s">
        <v>394</v>
      </c>
      <c r="Q47" s="2" t="s">
        <v>395</v>
      </c>
      <c r="R47">
        <v>3</v>
      </c>
      <c r="S47" t="s">
        <v>75</v>
      </c>
      <c r="T47" t="s">
        <v>396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6188-5C0A-4F1F-BCAE-0CEA803F4F6C}">
  <dimension ref="A3:B7"/>
  <sheetViews>
    <sheetView showGridLines="0" workbookViewId="0">
      <selection activeCell="B37" sqref="B37"/>
    </sheetView>
  </sheetViews>
  <sheetFormatPr defaultRowHeight="15" x14ac:dyDescent="0.25"/>
  <cols>
    <col min="1" max="1" width="14.5703125" bestFit="1" customWidth="1"/>
    <col min="2" max="2" width="12.140625" bestFit="1" customWidth="1"/>
    <col min="3" max="3" width="6.5703125" bestFit="1" customWidth="1"/>
    <col min="4" max="4" width="5" bestFit="1" customWidth="1"/>
    <col min="5" max="5" width="8.5703125" bestFit="1" customWidth="1"/>
    <col min="6" max="6" width="6.5703125" bestFit="1" customWidth="1"/>
    <col min="7" max="8" width="7.5703125" bestFit="1" customWidth="1"/>
    <col min="9" max="9" width="5.5703125" bestFit="1" customWidth="1"/>
    <col min="10" max="10" width="6.5703125" bestFit="1" customWidth="1"/>
    <col min="11" max="11" width="5.5703125" bestFit="1" customWidth="1"/>
    <col min="12" max="12" width="6.5703125" bestFit="1" customWidth="1"/>
    <col min="13" max="13" width="4.5703125" bestFit="1" customWidth="1"/>
    <col min="14" max="14" width="6.5703125" bestFit="1" customWidth="1"/>
    <col min="15" max="15" width="5.5703125" bestFit="1" customWidth="1"/>
    <col min="16" max="16" width="7.5703125" bestFit="1" customWidth="1"/>
    <col min="17" max="17" width="6.5703125" bestFit="1" customWidth="1"/>
    <col min="18" max="18" width="7.5703125" bestFit="1" customWidth="1"/>
    <col min="19" max="20" width="6.5703125" bestFit="1" customWidth="1"/>
    <col min="21" max="22" width="7.5703125" bestFit="1" customWidth="1"/>
    <col min="23" max="25" width="6.5703125" bestFit="1" customWidth="1"/>
    <col min="26" max="26" width="5.5703125" bestFit="1" customWidth="1"/>
    <col min="27" max="31" width="7.5703125" bestFit="1" customWidth="1"/>
    <col min="32" max="32" width="5.5703125" bestFit="1" customWidth="1"/>
    <col min="33" max="33" width="7.5703125" bestFit="1" customWidth="1"/>
    <col min="34" max="34" width="6.5703125" bestFit="1" customWidth="1"/>
    <col min="35" max="35" width="5.5703125" bestFit="1" customWidth="1"/>
    <col min="36" max="36" width="7.5703125" bestFit="1" customWidth="1"/>
    <col min="37" max="37" width="6.5703125" bestFit="1" customWidth="1"/>
    <col min="38" max="38" width="5.5703125" bestFit="1" customWidth="1"/>
    <col min="39" max="39" width="4.5703125" bestFit="1" customWidth="1"/>
    <col min="40" max="40" width="6.5703125" bestFit="1" customWidth="1"/>
    <col min="41" max="41" width="7.5703125" bestFit="1" customWidth="1"/>
    <col min="42" max="42" width="8.5703125" bestFit="1" customWidth="1"/>
    <col min="43" max="43" width="5.5703125" bestFit="1" customWidth="1"/>
    <col min="44" max="44" width="11.28515625" bestFit="1" customWidth="1"/>
  </cols>
  <sheetData>
    <row r="3" spans="1:2" x14ac:dyDescent="0.25">
      <c r="A3" s="5" t="s">
        <v>406</v>
      </c>
      <c r="B3" t="s">
        <v>408</v>
      </c>
    </row>
    <row r="4" spans="1:2" x14ac:dyDescent="0.25">
      <c r="A4" s="6" t="s">
        <v>93</v>
      </c>
      <c r="B4" s="11">
        <v>22804.915999999994</v>
      </c>
    </row>
    <row r="5" spans="1:2" x14ac:dyDescent="0.25">
      <c r="A5" s="6" t="s">
        <v>32</v>
      </c>
      <c r="B5" s="11">
        <v>5508.0004999999992</v>
      </c>
    </row>
    <row r="6" spans="1:2" x14ac:dyDescent="0.25">
      <c r="A6" s="6" t="s">
        <v>53</v>
      </c>
      <c r="B6" s="11">
        <v>1947.0630000000001</v>
      </c>
    </row>
    <row r="7" spans="1:2" x14ac:dyDescent="0.25">
      <c r="A7" s="6" t="s">
        <v>407</v>
      </c>
      <c r="B7" s="11">
        <v>30259.979499999994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6F48-95BB-4DC2-B607-7EE26B9BE160}">
  <dimension ref="A3:E8"/>
  <sheetViews>
    <sheetView showGridLines="0" workbookViewId="0">
      <selection activeCell="I13" sqref="I13"/>
    </sheetView>
  </sheetViews>
  <sheetFormatPr defaultRowHeight="15" x14ac:dyDescent="0.25"/>
  <cols>
    <col min="1" max="1" width="13.140625" bestFit="1" customWidth="1"/>
    <col min="2" max="2" width="16.28515625" bestFit="1" customWidth="1"/>
    <col min="3" max="3" width="14.5703125" bestFit="1" customWidth="1"/>
    <col min="4" max="5" width="11.140625" bestFit="1" customWidth="1"/>
  </cols>
  <sheetData>
    <row r="3" spans="1:5" x14ac:dyDescent="0.25">
      <c r="A3" s="5" t="s">
        <v>408</v>
      </c>
      <c r="B3" s="5" t="s">
        <v>409</v>
      </c>
    </row>
    <row r="4" spans="1:5" x14ac:dyDescent="0.25">
      <c r="A4" s="5" t="s">
        <v>406</v>
      </c>
      <c r="B4" t="s">
        <v>32</v>
      </c>
      <c r="C4" t="s">
        <v>53</v>
      </c>
      <c r="D4" t="s">
        <v>93</v>
      </c>
      <c r="E4" t="s">
        <v>407</v>
      </c>
    </row>
    <row r="5" spans="1:5" x14ac:dyDescent="0.25">
      <c r="A5" s="6" t="s">
        <v>178</v>
      </c>
      <c r="B5">
        <v>489.53199999999998</v>
      </c>
      <c r="D5">
        <v>2799.99</v>
      </c>
      <c r="E5">
        <v>3289.5219999999999</v>
      </c>
    </row>
    <row r="6" spans="1:5" x14ac:dyDescent="0.25">
      <c r="A6" s="6" t="s">
        <v>30</v>
      </c>
      <c r="B6">
        <v>66.144000000000005</v>
      </c>
      <c r="E6">
        <v>66.144000000000005</v>
      </c>
    </row>
    <row r="7" spans="1:5" x14ac:dyDescent="0.25">
      <c r="A7" s="6" t="s">
        <v>51</v>
      </c>
      <c r="C7">
        <v>13.48</v>
      </c>
      <c r="D7">
        <v>6283.4039999999995</v>
      </c>
      <c r="E7">
        <v>6296.8839999999991</v>
      </c>
    </row>
    <row r="8" spans="1:5" x14ac:dyDescent="0.25">
      <c r="A8" s="6" t="s">
        <v>407</v>
      </c>
      <c r="B8">
        <v>555.67599999999993</v>
      </c>
      <c r="C8">
        <v>13.48</v>
      </c>
      <c r="D8">
        <v>9083.3940000000002</v>
      </c>
      <c r="E8">
        <v>9652.5499999999993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8A78-07FD-4E08-BE5F-FD41ACA98B08}">
  <dimension ref="A3:D23"/>
  <sheetViews>
    <sheetView showGridLines="0" zoomScaleNormal="100" workbookViewId="0">
      <selection activeCell="S29" sqref="S29"/>
    </sheetView>
  </sheetViews>
  <sheetFormatPr defaultRowHeight="15" x14ac:dyDescent="0.25"/>
  <cols>
    <col min="1" max="1" width="16.42578125" bestFit="1" customWidth="1"/>
    <col min="2" max="2" width="12.140625" bestFit="1" customWidth="1"/>
    <col min="3" max="3" width="12.7109375" bestFit="1" customWidth="1"/>
    <col min="4" max="4" width="20.140625" bestFit="1" customWidth="1"/>
  </cols>
  <sheetData>
    <row r="3" spans="1:4" x14ac:dyDescent="0.25">
      <c r="A3" s="5" t="s">
        <v>406</v>
      </c>
      <c r="B3" t="s">
        <v>408</v>
      </c>
      <c r="C3" t="s">
        <v>410</v>
      </c>
      <c r="D3" t="s">
        <v>411</v>
      </c>
    </row>
    <row r="4" spans="1:4" x14ac:dyDescent="0.25">
      <c r="A4" s="6" t="s">
        <v>93</v>
      </c>
      <c r="B4">
        <v>22804.915999999997</v>
      </c>
      <c r="C4">
        <v>-15256.8833</v>
      </c>
      <c r="D4">
        <v>-0.66901729872629212</v>
      </c>
    </row>
    <row r="5" spans="1:4" x14ac:dyDescent="0.25">
      <c r="A5" s="7" t="s">
        <v>94</v>
      </c>
      <c r="B5">
        <v>8966.6319999999996</v>
      </c>
      <c r="C5">
        <v>-7631.021099999999</v>
      </c>
      <c r="D5">
        <v>-0.85104653564459876</v>
      </c>
    </row>
    <row r="6" spans="1:4" x14ac:dyDescent="0.25">
      <c r="A6" s="7" t="s">
        <v>291</v>
      </c>
      <c r="B6">
        <v>11199.97</v>
      </c>
      <c r="C6">
        <v>-8400</v>
      </c>
      <c r="D6">
        <v>-0.75000200893395252</v>
      </c>
    </row>
    <row r="7" spans="1:4" x14ac:dyDescent="0.25">
      <c r="A7" s="7" t="s">
        <v>145</v>
      </c>
      <c r="B7">
        <v>138.32400000000001</v>
      </c>
      <c r="C7">
        <v>24.140799999999999</v>
      </c>
      <c r="D7">
        <v>0.17452358231398743</v>
      </c>
    </row>
    <row r="8" spans="1:4" x14ac:dyDescent="0.25">
      <c r="A8" s="7" t="s">
        <v>331</v>
      </c>
      <c r="B8">
        <v>2499.9899999999998</v>
      </c>
      <c r="C8">
        <v>749.99699999999996</v>
      </c>
      <c r="D8">
        <v>0.3</v>
      </c>
    </row>
    <row r="9" spans="1:4" x14ac:dyDescent="0.25">
      <c r="A9" s="6" t="s">
        <v>53</v>
      </c>
      <c r="B9">
        <v>1947.0629999999999</v>
      </c>
      <c r="C9">
        <v>-882.22665000000006</v>
      </c>
      <c r="D9">
        <v>-0.45310637098029183</v>
      </c>
    </row>
    <row r="10" spans="1:4" x14ac:dyDescent="0.25">
      <c r="A10" s="7" t="s">
        <v>123</v>
      </c>
      <c r="B10">
        <v>822.51400000000001</v>
      </c>
      <c r="C10">
        <v>-936.90010000000007</v>
      </c>
      <c r="D10">
        <v>-1.1390688790707515</v>
      </c>
    </row>
    <row r="11" spans="1:4" x14ac:dyDescent="0.25">
      <c r="A11" s="7" t="s">
        <v>72</v>
      </c>
      <c r="B11">
        <v>463.35300000000001</v>
      </c>
      <c r="C11">
        <v>-127.55834999999999</v>
      </c>
      <c r="D11">
        <v>-0.27529410622139056</v>
      </c>
    </row>
    <row r="12" spans="1:4" x14ac:dyDescent="0.25">
      <c r="A12" s="7" t="s">
        <v>88</v>
      </c>
      <c r="B12">
        <v>7.28</v>
      </c>
      <c r="C12">
        <v>1.9656</v>
      </c>
      <c r="D12">
        <v>0.27</v>
      </c>
    </row>
    <row r="13" spans="1:4" x14ac:dyDescent="0.25">
      <c r="A13" s="7" t="s">
        <v>167</v>
      </c>
      <c r="B13">
        <v>42.876000000000005</v>
      </c>
      <c r="C13">
        <v>13.589</v>
      </c>
      <c r="D13">
        <v>0.31693721429237798</v>
      </c>
    </row>
    <row r="14" spans="1:4" x14ac:dyDescent="0.25">
      <c r="A14" s="7" t="s">
        <v>111</v>
      </c>
      <c r="B14">
        <v>531.67600000000004</v>
      </c>
      <c r="C14">
        <v>173.42739999999998</v>
      </c>
      <c r="D14">
        <v>0.32619001045749663</v>
      </c>
    </row>
    <row r="15" spans="1:4" x14ac:dyDescent="0.25">
      <c r="A15" s="7" t="s">
        <v>106</v>
      </c>
      <c r="B15">
        <v>64.744</v>
      </c>
      <c r="C15">
        <v>21.910399999999999</v>
      </c>
      <c r="D15">
        <v>0.33841591498826146</v>
      </c>
    </row>
    <row r="16" spans="1:4" x14ac:dyDescent="0.25">
      <c r="A16" s="7" t="s">
        <v>54</v>
      </c>
      <c r="B16">
        <v>14.62</v>
      </c>
      <c r="C16">
        <v>6.8714000000000004</v>
      </c>
      <c r="D16">
        <v>0.47000000000000003</v>
      </c>
    </row>
    <row r="17" spans="1:4" x14ac:dyDescent="0.25">
      <c r="A17" s="7" t="s">
        <v>259</v>
      </c>
      <c r="B17">
        <v>0</v>
      </c>
      <c r="C17">
        <v>-35.531999999999996</v>
      </c>
      <c r="D17" t="e">
        <v>#DIV/0!</v>
      </c>
    </row>
    <row r="18" spans="1:4" x14ac:dyDescent="0.25">
      <c r="A18" s="6" t="s">
        <v>32</v>
      </c>
      <c r="B18">
        <v>5508.0004999999992</v>
      </c>
      <c r="C18">
        <v>-1017.9234</v>
      </c>
      <c r="D18">
        <v>-0.18480815315830124</v>
      </c>
    </row>
    <row r="19" spans="1:4" x14ac:dyDescent="0.25">
      <c r="A19" s="7" t="s">
        <v>66</v>
      </c>
      <c r="B19">
        <v>3098.1094999999996</v>
      </c>
      <c r="C19">
        <v>-896.43790000000001</v>
      </c>
      <c r="D19">
        <v>-0.28934997294317716</v>
      </c>
    </row>
    <row r="20" spans="1:4" x14ac:dyDescent="0.25">
      <c r="A20" s="7" t="s">
        <v>39</v>
      </c>
      <c r="B20">
        <v>1861.175</v>
      </c>
      <c r="C20">
        <v>-236.47560000000001</v>
      </c>
      <c r="D20">
        <v>-0.12705715475438903</v>
      </c>
    </row>
    <row r="21" spans="1:4" x14ac:dyDescent="0.25">
      <c r="A21" s="7" t="s">
        <v>33</v>
      </c>
      <c r="B21">
        <v>261.95999999999998</v>
      </c>
      <c r="C21">
        <v>41.913600000000002</v>
      </c>
      <c r="D21">
        <v>0.16000000000000003</v>
      </c>
    </row>
    <row r="22" spans="1:4" x14ac:dyDescent="0.25">
      <c r="A22" s="7" t="s">
        <v>83</v>
      </c>
      <c r="B22">
        <v>286.75599999999997</v>
      </c>
      <c r="C22">
        <v>73.076499999999996</v>
      </c>
      <c r="D22">
        <v>0.25483860843365091</v>
      </c>
    </row>
    <row r="23" spans="1:4" x14ac:dyDescent="0.25">
      <c r="A23" s="6" t="s">
        <v>407</v>
      </c>
      <c r="B23">
        <v>30259.97949999999</v>
      </c>
      <c r="C23">
        <v>-17157.033349999998</v>
      </c>
      <c r="D23">
        <v>-0.56698760651837188</v>
      </c>
    </row>
  </sheetData>
  <conditionalFormatting pivot="1" sqref="D4:D2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362D-3A88-408E-8A72-01650C28FE41}">
  <dimension ref="A1:C7"/>
  <sheetViews>
    <sheetView showGridLines="0" tabSelected="1" zoomScaleNormal="100" workbookViewId="0">
      <selection activeCell="L7" sqref="L7"/>
    </sheetView>
  </sheetViews>
  <sheetFormatPr defaultRowHeight="15" x14ac:dyDescent="0.25"/>
  <cols>
    <col min="1" max="1" width="19" customWidth="1"/>
    <col min="2" max="2" width="23.28515625" customWidth="1"/>
    <col min="3" max="3" width="37.85546875" customWidth="1"/>
  </cols>
  <sheetData>
    <row r="1" spans="1:3" ht="72" customHeight="1" thickBot="1" x14ac:dyDescent="0.3"/>
    <row r="2" spans="1:3" ht="45.75" customHeight="1" thickBot="1" x14ac:dyDescent="0.3">
      <c r="A2" s="27" t="s">
        <v>412</v>
      </c>
      <c r="B2" s="27" t="s">
        <v>413</v>
      </c>
      <c r="C2" s="28" t="s">
        <v>414</v>
      </c>
    </row>
    <row r="3" spans="1:3" ht="45.75" customHeight="1" thickBot="1" x14ac:dyDescent="0.3">
      <c r="A3" s="24" t="s">
        <v>415</v>
      </c>
      <c r="B3" s="25" t="s">
        <v>93</v>
      </c>
      <c r="C3" s="26" t="s">
        <v>416</v>
      </c>
    </row>
    <row r="4" spans="1:3" ht="72" customHeight="1" thickBot="1" x14ac:dyDescent="0.3">
      <c r="A4" s="21" t="s">
        <v>417</v>
      </c>
      <c r="B4" s="22" t="s">
        <v>32</v>
      </c>
      <c r="C4" s="23" t="s">
        <v>418</v>
      </c>
    </row>
    <row r="5" spans="1:3" ht="64.5" customHeight="1" thickBot="1" x14ac:dyDescent="0.3">
      <c r="A5" s="18" t="s">
        <v>419</v>
      </c>
      <c r="B5" s="19" t="s">
        <v>11</v>
      </c>
      <c r="C5" s="20" t="s">
        <v>420</v>
      </c>
    </row>
    <row r="6" spans="1:3" ht="75.75" customHeight="1" thickBot="1" x14ac:dyDescent="0.3">
      <c r="A6" s="12" t="s">
        <v>421</v>
      </c>
      <c r="B6" s="13" t="s">
        <v>422</v>
      </c>
      <c r="C6" s="14" t="s">
        <v>423</v>
      </c>
    </row>
    <row r="7" spans="1:3" ht="59.25" customHeight="1" thickBot="1" x14ac:dyDescent="0.3">
      <c r="A7" s="15" t="s">
        <v>424</v>
      </c>
      <c r="B7" s="16" t="s">
        <v>425</v>
      </c>
      <c r="C7" s="17" t="s">
        <v>426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3BDF6-0DB7-4AD2-86EF-7500AE33080D}">
  <dimension ref="A1:S59"/>
  <sheetViews>
    <sheetView zoomScaleNormal="100" workbookViewId="0">
      <selection activeCell="Q41" sqref="Q41"/>
    </sheetView>
  </sheetViews>
  <sheetFormatPr defaultRowHeight="15" x14ac:dyDescent="0.25"/>
  <cols>
    <col min="1" max="1" width="2.140625" customWidth="1"/>
    <col min="2" max="2" width="14.5703125" customWidth="1"/>
    <col min="3" max="3" width="14.28515625" customWidth="1"/>
    <col min="4" max="4" width="16.5703125" customWidth="1"/>
    <col min="5" max="5" width="12.5703125" customWidth="1"/>
    <col min="6" max="6" width="9.42578125" customWidth="1"/>
    <col min="7" max="7" width="17.140625" customWidth="1"/>
    <col min="8" max="8" width="12" customWidth="1"/>
    <col min="9" max="9" width="15.7109375" customWidth="1"/>
    <col min="10" max="10" width="13.5703125" customWidth="1"/>
    <col min="11" max="11" width="12.7109375" customWidth="1"/>
    <col min="12" max="12" width="12.28515625" customWidth="1"/>
    <col min="13" max="13" width="15.140625" customWidth="1"/>
    <col min="14" max="14" width="9.85546875" customWidth="1"/>
    <col min="15" max="15" width="8" customWidth="1"/>
  </cols>
  <sheetData>
    <row r="1" spans="1:19" ht="11.25" customHeight="1" x14ac:dyDescent="0.25">
      <c r="A1" s="29"/>
      <c r="B1" s="29"/>
      <c r="C1" s="29"/>
      <c r="D1" s="29"/>
      <c r="E1" s="29"/>
      <c r="F1" s="29"/>
      <c r="G1" s="29"/>
      <c r="H1" s="29"/>
      <c r="I1" s="29"/>
      <c r="J1" s="29"/>
      <c r="K1" s="29"/>
      <c r="L1" s="29"/>
      <c r="M1" s="29"/>
      <c r="N1" s="29"/>
      <c r="O1" s="29"/>
      <c r="P1" s="29"/>
      <c r="Q1" s="29"/>
      <c r="R1" s="29"/>
      <c r="S1" s="29"/>
    </row>
    <row r="2" spans="1:19" ht="36" customHeight="1" x14ac:dyDescent="0.25">
      <c r="A2" s="29"/>
      <c r="B2" s="52" t="s">
        <v>427</v>
      </c>
      <c r="C2" s="52"/>
      <c r="D2" s="52"/>
      <c r="E2" s="52"/>
      <c r="F2" s="52"/>
      <c r="G2" s="52"/>
      <c r="H2" s="52"/>
      <c r="I2" s="52"/>
      <c r="J2" s="52"/>
      <c r="K2" s="52"/>
      <c r="L2" s="52"/>
      <c r="M2" s="52"/>
      <c r="N2" s="52"/>
      <c r="O2" s="29"/>
      <c r="P2" s="29"/>
      <c r="Q2" s="29"/>
      <c r="R2" s="29"/>
      <c r="S2" s="29"/>
    </row>
    <row r="3" spans="1:19" x14ac:dyDescent="0.25">
      <c r="A3" s="29"/>
      <c r="B3" s="29"/>
      <c r="C3" s="29"/>
      <c r="D3" s="29"/>
      <c r="E3" s="29"/>
      <c r="F3" s="29"/>
      <c r="G3" s="29"/>
      <c r="H3" s="29"/>
      <c r="I3" s="29"/>
      <c r="J3" s="29"/>
      <c r="K3" s="29"/>
      <c r="L3" s="29"/>
      <c r="M3" s="29"/>
      <c r="N3" s="29"/>
      <c r="O3" s="29"/>
      <c r="P3" s="29"/>
      <c r="Q3" s="29"/>
      <c r="R3" s="29"/>
      <c r="S3" s="29"/>
    </row>
    <row r="4" spans="1:19" x14ac:dyDescent="0.25">
      <c r="A4" s="29"/>
      <c r="B4" s="53" t="s">
        <v>428</v>
      </c>
      <c r="C4" s="53"/>
      <c r="D4" s="53"/>
      <c r="E4" s="53"/>
      <c r="F4" s="53"/>
      <c r="G4" s="53"/>
      <c r="H4" s="53"/>
      <c r="I4" s="53"/>
      <c r="J4" s="53"/>
      <c r="K4" s="53"/>
      <c r="L4" s="53"/>
      <c r="M4" s="53"/>
      <c r="N4" s="53"/>
      <c r="O4" s="29"/>
      <c r="P4" s="29"/>
      <c r="Q4" s="29"/>
      <c r="R4" s="29"/>
      <c r="S4" s="29"/>
    </row>
    <row r="5" spans="1:19" x14ac:dyDescent="0.25">
      <c r="A5" s="29"/>
      <c r="B5" s="29"/>
      <c r="C5" s="29"/>
      <c r="D5" s="29"/>
      <c r="E5" s="29"/>
      <c r="F5" s="29"/>
      <c r="G5" s="29"/>
      <c r="H5" s="29"/>
      <c r="I5" s="29"/>
      <c r="J5" s="29"/>
      <c r="K5" s="29"/>
      <c r="L5" s="29"/>
      <c r="M5" s="29"/>
      <c r="N5" s="29"/>
      <c r="O5" s="29"/>
      <c r="P5" s="29"/>
      <c r="Q5" s="29"/>
      <c r="R5" s="29"/>
      <c r="S5" s="29"/>
    </row>
    <row r="6" spans="1:19" ht="52.5" customHeight="1" x14ac:dyDescent="0.25">
      <c r="A6" s="29"/>
      <c r="B6" s="54" t="s">
        <v>429</v>
      </c>
      <c r="C6" s="54"/>
      <c r="D6" s="54"/>
      <c r="E6" s="54"/>
      <c r="F6" s="54"/>
      <c r="G6" s="55" t="s">
        <v>430</v>
      </c>
      <c r="H6" s="55"/>
      <c r="I6" s="55"/>
      <c r="J6" s="55"/>
      <c r="K6" s="56" t="s">
        <v>431</v>
      </c>
      <c r="L6" s="56"/>
      <c r="M6" s="56"/>
      <c r="N6" s="56"/>
      <c r="O6" s="29"/>
      <c r="P6" s="29"/>
      <c r="Q6" s="29"/>
      <c r="R6" s="29"/>
      <c r="S6" s="29"/>
    </row>
    <row r="7" spans="1:19" x14ac:dyDescent="0.25">
      <c r="A7" s="29"/>
      <c r="B7" s="29"/>
      <c r="C7" s="29"/>
      <c r="D7" s="29"/>
      <c r="E7" s="29"/>
      <c r="F7" s="29"/>
      <c r="G7" s="29"/>
      <c r="H7" s="29"/>
      <c r="I7" s="29"/>
      <c r="J7" s="29"/>
      <c r="K7" s="29"/>
      <c r="L7" s="29"/>
      <c r="M7" s="29"/>
      <c r="N7" s="29"/>
      <c r="O7" s="29"/>
      <c r="P7" s="29"/>
      <c r="Q7" s="29"/>
      <c r="R7" s="29"/>
      <c r="S7" s="29"/>
    </row>
    <row r="8" spans="1:19" ht="21.75" customHeight="1" x14ac:dyDescent="0.25">
      <c r="A8" s="29"/>
      <c r="B8" s="49" t="s">
        <v>432</v>
      </c>
      <c r="C8" s="49"/>
      <c r="D8" s="49"/>
      <c r="E8" s="49"/>
      <c r="F8" s="29"/>
      <c r="G8" s="29"/>
      <c r="H8" s="49" t="s">
        <v>433</v>
      </c>
      <c r="I8" s="49"/>
      <c r="J8" s="49"/>
      <c r="K8" s="49"/>
      <c r="L8" s="49"/>
      <c r="M8" s="49"/>
      <c r="N8" s="49"/>
      <c r="O8" s="29"/>
      <c r="P8" s="29"/>
      <c r="Q8" s="29"/>
      <c r="R8" s="29"/>
      <c r="S8" s="29"/>
    </row>
    <row r="9" spans="1:19" ht="32.25" customHeight="1" x14ac:dyDescent="0.25">
      <c r="A9" s="29"/>
      <c r="B9" s="30" t="s">
        <v>13</v>
      </c>
      <c r="C9" s="30" t="s">
        <v>434</v>
      </c>
      <c r="D9" s="30" t="s">
        <v>435</v>
      </c>
      <c r="E9" s="29"/>
      <c r="F9" s="29"/>
      <c r="G9" s="29"/>
      <c r="H9" s="30" t="s">
        <v>14</v>
      </c>
      <c r="I9" s="30" t="s">
        <v>435</v>
      </c>
      <c r="J9" s="29"/>
      <c r="K9" s="29"/>
      <c r="L9" s="29"/>
      <c r="M9" s="29"/>
      <c r="N9" s="29"/>
      <c r="O9" s="29"/>
      <c r="P9" s="29"/>
      <c r="Q9" s="29"/>
      <c r="R9" s="29"/>
      <c r="S9" s="29"/>
    </row>
    <row r="10" spans="1:19" ht="30.75" customHeight="1" x14ac:dyDescent="0.25">
      <c r="A10" s="29"/>
      <c r="B10" s="31" t="s">
        <v>93</v>
      </c>
      <c r="C10" s="32">
        <v>22804.92</v>
      </c>
      <c r="D10" s="33">
        <v>-15256.88</v>
      </c>
      <c r="E10" s="29"/>
      <c r="F10" s="29"/>
      <c r="G10" s="29"/>
      <c r="H10" s="31" t="s">
        <v>94</v>
      </c>
      <c r="I10" s="33">
        <v>-7631.02</v>
      </c>
      <c r="J10" s="29"/>
      <c r="K10" s="29"/>
      <c r="L10" s="29"/>
      <c r="M10" s="29"/>
      <c r="N10" s="29"/>
      <c r="O10" s="29"/>
      <c r="P10" s="29"/>
      <c r="Q10" s="29"/>
      <c r="R10" s="29"/>
      <c r="S10" s="29"/>
    </row>
    <row r="11" spans="1:19" ht="29.25" customHeight="1" x14ac:dyDescent="0.25">
      <c r="A11" s="29"/>
      <c r="B11" s="34" t="s">
        <v>32</v>
      </c>
      <c r="C11" s="35">
        <v>5508</v>
      </c>
      <c r="D11" s="36">
        <v>-1017.92</v>
      </c>
      <c r="E11" s="29"/>
      <c r="F11" s="29"/>
      <c r="G11" s="29"/>
      <c r="H11" s="34" t="s">
        <v>291</v>
      </c>
      <c r="I11" s="36">
        <v>-8400</v>
      </c>
      <c r="J11" s="29"/>
      <c r="K11" s="29"/>
      <c r="L11" s="29"/>
      <c r="M11" s="29"/>
      <c r="N11" s="29"/>
      <c r="O11" s="29"/>
      <c r="P11" s="29"/>
      <c r="Q11" s="29"/>
      <c r="R11" s="29"/>
      <c r="S11" s="29"/>
    </row>
    <row r="12" spans="1:19" ht="30.75" customHeight="1" x14ac:dyDescent="0.25">
      <c r="A12" s="29"/>
      <c r="B12" s="31" t="s">
        <v>53</v>
      </c>
      <c r="C12" s="32">
        <v>1947.06</v>
      </c>
      <c r="D12" s="33">
        <v>-882.23</v>
      </c>
      <c r="E12" s="29"/>
      <c r="F12" s="29"/>
      <c r="G12" s="29"/>
      <c r="H12" s="31" t="s">
        <v>123</v>
      </c>
      <c r="I12" s="33">
        <v>-936.9</v>
      </c>
      <c r="J12" s="29"/>
      <c r="K12" s="29"/>
      <c r="L12" s="29"/>
      <c r="M12" s="29"/>
      <c r="N12" s="29"/>
      <c r="O12" s="29"/>
      <c r="P12" s="29"/>
      <c r="Q12" s="29"/>
      <c r="R12" s="29"/>
      <c r="S12" s="29"/>
    </row>
    <row r="13" spans="1:19" ht="30" customHeight="1" x14ac:dyDescent="0.25">
      <c r="A13" s="29"/>
      <c r="B13" s="29"/>
      <c r="C13" s="29"/>
      <c r="D13" s="29"/>
      <c r="E13" s="29"/>
      <c r="F13" s="29"/>
      <c r="G13" s="29"/>
      <c r="H13" s="34" t="s">
        <v>66</v>
      </c>
      <c r="I13" s="36">
        <v>-896.44</v>
      </c>
      <c r="J13" s="29"/>
      <c r="K13" s="29"/>
      <c r="L13" s="29"/>
      <c r="M13" s="29"/>
      <c r="N13" s="29"/>
      <c r="O13" s="29"/>
      <c r="P13" s="29"/>
      <c r="Q13" s="29"/>
      <c r="R13" s="29"/>
      <c r="S13" s="29"/>
    </row>
    <row r="14" spans="1:19" ht="21" customHeight="1" x14ac:dyDescent="0.25">
      <c r="A14" s="29"/>
      <c r="B14" s="29"/>
      <c r="C14" s="29"/>
      <c r="D14" s="29"/>
      <c r="E14" s="29"/>
      <c r="F14" s="29"/>
      <c r="G14" s="29"/>
      <c r="H14" s="31" t="s">
        <v>39</v>
      </c>
      <c r="I14" s="33">
        <v>-236.48</v>
      </c>
      <c r="J14" s="29"/>
      <c r="K14" s="29"/>
      <c r="L14" s="29"/>
      <c r="M14" s="29"/>
      <c r="N14" s="29"/>
      <c r="O14" s="29"/>
      <c r="P14" s="29"/>
      <c r="Q14" s="29"/>
      <c r="R14" s="29"/>
      <c r="S14" s="29"/>
    </row>
    <row r="15" spans="1:19" ht="30" customHeight="1" x14ac:dyDescent="0.25">
      <c r="A15" s="29"/>
      <c r="B15" s="29"/>
      <c r="C15" s="29"/>
      <c r="D15" s="29"/>
      <c r="E15" s="29"/>
      <c r="F15" s="29"/>
      <c r="G15" s="29"/>
      <c r="H15" s="34" t="s">
        <v>72</v>
      </c>
      <c r="I15" s="36">
        <v>-127.56</v>
      </c>
      <c r="J15" s="29"/>
      <c r="K15" s="29"/>
      <c r="L15" s="29"/>
      <c r="M15" s="29"/>
      <c r="N15" s="29"/>
      <c r="O15" s="29"/>
      <c r="P15" s="29"/>
      <c r="Q15" s="29"/>
      <c r="R15" s="29"/>
      <c r="S15" s="29"/>
    </row>
    <row r="16" spans="1:19" ht="19.5" customHeight="1" x14ac:dyDescent="0.25">
      <c r="A16" s="29"/>
      <c r="B16" s="29"/>
      <c r="C16" s="29"/>
      <c r="D16" s="29"/>
      <c r="E16" s="29"/>
      <c r="F16" s="29"/>
      <c r="G16" s="29"/>
      <c r="H16" s="31" t="s">
        <v>331</v>
      </c>
      <c r="I16" s="37">
        <v>749.99699999999996</v>
      </c>
      <c r="J16" s="29"/>
      <c r="K16" s="29"/>
      <c r="L16" s="29"/>
      <c r="M16" s="29"/>
      <c r="N16" s="29"/>
      <c r="O16" s="29"/>
      <c r="P16" s="29"/>
      <c r="Q16" s="29"/>
      <c r="R16" s="29"/>
      <c r="S16" s="29"/>
    </row>
    <row r="17" spans="1:19" ht="30.75" customHeight="1" x14ac:dyDescent="0.25">
      <c r="A17" s="29"/>
      <c r="B17" s="29"/>
      <c r="C17" s="29"/>
      <c r="D17" s="29"/>
      <c r="E17" s="29"/>
      <c r="F17" s="29"/>
      <c r="G17" s="29"/>
      <c r="H17" s="34" t="s">
        <v>111</v>
      </c>
      <c r="I17" s="38">
        <v>173.43</v>
      </c>
      <c r="J17" s="29"/>
      <c r="K17" s="29"/>
      <c r="L17" s="29"/>
      <c r="M17" s="29"/>
      <c r="N17" s="29"/>
      <c r="O17" s="29"/>
      <c r="P17" s="29"/>
      <c r="Q17" s="29"/>
      <c r="R17" s="29"/>
      <c r="S17" s="29"/>
    </row>
    <row r="18" spans="1:19" x14ac:dyDescent="0.25">
      <c r="A18" s="29"/>
      <c r="B18" s="29"/>
      <c r="C18" s="29"/>
      <c r="D18" s="29"/>
      <c r="E18" s="29"/>
      <c r="F18" s="29"/>
      <c r="G18" s="29"/>
      <c r="H18" s="31" t="s">
        <v>106</v>
      </c>
      <c r="I18" s="37">
        <v>21.91</v>
      </c>
      <c r="J18" s="29"/>
      <c r="K18" s="29"/>
      <c r="L18" s="29"/>
      <c r="M18" s="29"/>
      <c r="N18" s="29"/>
      <c r="O18" s="29"/>
      <c r="P18" s="29"/>
      <c r="Q18" s="29"/>
      <c r="R18" s="29"/>
      <c r="S18" s="29"/>
    </row>
    <row r="19" spans="1:19" x14ac:dyDescent="0.25">
      <c r="A19" s="29"/>
      <c r="B19" s="29"/>
      <c r="C19" s="29"/>
      <c r="D19" s="29"/>
      <c r="E19" s="29"/>
      <c r="F19" s="29"/>
      <c r="G19" s="29"/>
      <c r="H19" s="34" t="s">
        <v>167</v>
      </c>
      <c r="I19" s="38">
        <v>13.59</v>
      </c>
      <c r="J19" s="29"/>
      <c r="K19" s="29"/>
      <c r="L19" s="29"/>
      <c r="M19" s="29"/>
      <c r="N19" s="29"/>
      <c r="O19" s="29"/>
      <c r="P19" s="29"/>
      <c r="Q19" s="29"/>
      <c r="R19" s="29"/>
      <c r="S19" s="29"/>
    </row>
    <row r="20" spans="1:19" x14ac:dyDescent="0.25">
      <c r="A20" s="29"/>
      <c r="B20" s="29"/>
      <c r="C20" s="29"/>
      <c r="D20" s="29"/>
      <c r="E20" s="29"/>
      <c r="F20" s="29"/>
      <c r="G20" s="29"/>
      <c r="H20" s="29"/>
      <c r="I20" s="29"/>
      <c r="J20" s="29"/>
      <c r="K20" s="29"/>
      <c r="L20" s="29"/>
      <c r="M20" s="29"/>
      <c r="N20" s="29"/>
      <c r="O20" s="29"/>
      <c r="P20" s="29"/>
      <c r="Q20" s="29"/>
      <c r="R20" s="29"/>
      <c r="S20" s="29"/>
    </row>
    <row r="21" spans="1:19" x14ac:dyDescent="0.25">
      <c r="A21" s="29"/>
      <c r="B21" s="29"/>
      <c r="C21" s="29"/>
      <c r="D21" s="29"/>
      <c r="E21" s="29"/>
      <c r="F21" s="29"/>
      <c r="G21" s="29"/>
      <c r="H21" s="29"/>
      <c r="I21" s="29"/>
      <c r="J21" s="29"/>
      <c r="K21" s="29"/>
      <c r="L21" s="29"/>
      <c r="M21" s="29"/>
      <c r="N21" s="29"/>
      <c r="O21" s="29"/>
      <c r="P21" s="29"/>
      <c r="Q21" s="29"/>
      <c r="R21" s="29"/>
      <c r="S21" s="29"/>
    </row>
    <row r="22" spans="1:19" x14ac:dyDescent="0.25">
      <c r="A22" s="29"/>
      <c r="B22" s="29"/>
      <c r="C22" s="29"/>
      <c r="D22" s="29"/>
      <c r="E22" s="29"/>
      <c r="F22" s="29"/>
      <c r="G22" s="29"/>
      <c r="H22" s="29"/>
      <c r="I22" s="29"/>
      <c r="J22" s="29"/>
      <c r="K22" s="29"/>
      <c r="L22" s="29"/>
      <c r="M22" s="29"/>
      <c r="N22" s="29"/>
      <c r="O22" s="29"/>
      <c r="P22" s="29"/>
      <c r="Q22" s="29"/>
      <c r="R22" s="29"/>
      <c r="S22" s="29"/>
    </row>
    <row r="23" spans="1:19" x14ac:dyDescent="0.25">
      <c r="A23" s="29"/>
      <c r="B23" s="29"/>
      <c r="C23" s="29"/>
      <c r="D23" s="29"/>
      <c r="E23" s="29"/>
      <c r="F23" s="29"/>
      <c r="G23" s="29"/>
      <c r="H23" s="29"/>
      <c r="I23" s="29"/>
      <c r="J23" s="29"/>
      <c r="K23" s="29"/>
      <c r="L23" s="29"/>
      <c r="M23" s="29"/>
      <c r="N23" s="29"/>
      <c r="O23" s="29"/>
      <c r="P23" s="29"/>
      <c r="Q23" s="29"/>
      <c r="R23" s="29"/>
      <c r="S23" s="29"/>
    </row>
    <row r="24" spans="1:19" x14ac:dyDescent="0.25">
      <c r="A24" s="29"/>
      <c r="B24" s="29"/>
      <c r="C24" s="29"/>
      <c r="D24" s="29"/>
      <c r="E24" s="29"/>
      <c r="F24" s="29"/>
      <c r="G24" s="29"/>
      <c r="H24" s="29"/>
      <c r="I24" s="29"/>
      <c r="J24" s="29"/>
      <c r="K24" s="29"/>
      <c r="L24" s="29"/>
      <c r="M24" s="29"/>
      <c r="N24" s="29"/>
      <c r="O24" s="29"/>
      <c r="P24" s="29"/>
      <c r="Q24" s="29"/>
      <c r="R24" s="29"/>
      <c r="S24" s="29"/>
    </row>
    <row r="25" spans="1:19" x14ac:dyDescent="0.25">
      <c r="A25" s="29"/>
      <c r="B25" s="29"/>
      <c r="C25" s="29"/>
      <c r="D25" s="29"/>
      <c r="E25" s="29"/>
      <c r="F25" s="29"/>
      <c r="G25" s="29"/>
      <c r="H25" s="29"/>
      <c r="I25" s="29"/>
      <c r="J25" s="29"/>
      <c r="K25" s="29"/>
      <c r="L25" s="29"/>
      <c r="M25" s="29"/>
      <c r="N25" s="29"/>
      <c r="O25" s="29"/>
      <c r="P25" s="29"/>
      <c r="Q25" s="29"/>
      <c r="R25" s="29"/>
      <c r="S25" s="29"/>
    </row>
    <row r="26" spans="1:19" ht="24.75" customHeight="1" x14ac:dyDescent="0.25">
      <c r="A26" s="29"/>
      <c r="B26" s="48" t="s">
        <v>436</v>
      </c>
      <c r="C26" s="48"/>
      <c r="D26" s="48"/>
      <c r="E26" s="48"/>
      <c r="F26" s="48"/>
      <c r="G26" s="48"/>
      <c r="H26" s="48"/>
      <c r="I26" s="48"/>
      <c r="J26" s="48"/>
      <c r="K26" s="48"/>
      <c r="L26" s="48"/>
      <c r="M26" s="48"/>
      <c r="N26" s="48"/>
      <c r="O26" s="29"/>
      <c r="P26" s="29"/>
      <c r="Q26" s="29"/>
      <c r="R26" s="29"/>
      <c r="S26" s="29"/>
    </row>
    <row r="27" spans="1:19" x14ac:dyDescent="0.25">
      <c r="A27" s="29"/>
      <c r="B27" s="30" t="s">
        <v>437</v>
      </c>
      <c r="C27" s="30" t="s">
        <v>434</v>
      </c>
      <c r="D27" s="29"/>
      <c r="E27" s="29"/>
      <c r="F27" s="29"/>
      <c r="G27" s="29"/>
      <c r="H27" s="29"/>
      <c r="I27" s="29"/>
      <c r="J27" s="29"/>
      <c r="K27" s="29"/>
      <c r="L27" s="29"/>
      <c r="M27" s="29"/>
      <c r="N27" s="29"/>
      <c r="O27" s="29"/>
      <c r="P27" s="29"/>
      <c r="Q27" s="29"/>
      <c r="R27" s="29"/>
      <c r="S27" s="29"/>
    </row>
    <row r="28" spans="1:19" x14ac:dyDescent="0.25">
      <c r="A28" s="29"/>
      <c r="B28" s="31" t="s">
        <v>438</v>
      </c>
      <c r="C28" s="32">
        <v>59.99</v>
      </c>
      <c r="D28" s="29"/>
      <c r="E28" s="29"/>
      <c r="F28" s="29"/>
      <c r="G28" s="29"/>
      <c r="H28" s="29"/>
      <c r="I28" s="29"/>
      <c r="J28" s="29"/>
      <c r="K28" s="29"/>
      <c r="L28" s="29"/>
      <c r="M28" s="29"/>
      <c r="N28" s="29"/>
      <c r="O28" s="29"/>
      <c r="P28" s="29"/>
      <c r="Q28" s="29"/>
      <c r="R28" s="29"/>
      <c r="S28" s="29"/>
    </row>
    <row r="29" spans="1:19" x14ac:dyDescent="0.25">
      <c r="A29" s="29"/>
      <c r="B29" s="34" t="s">
        <v>439</v>
      </c>
      <c r="C29" s="35">
        <v>876.49</v>
      </c>
      <c r="D29" s="29"/>
      <c r="E29" s="29"/>
      <c r="F29" s="29"/>
      <c r="G29" s="29"/>
      <c r="H29" s="29"/>
      <c r="I29" s="29"/>
      <c r="J29" s="29"/>
      <c r="K29" s="29"/>
      <c r="L29" s="29"/>
      <c r="M29" s="29"/>
      <c r="N29" s="29"/>
      <c r="O29" s="29"/>
      <c r="P29" s="29"/>
      <c r="Q29" s="29"/>
      <c r="R29" s="29"/>
      <c r="S29" s="29"/>
    </row>
    <row r="30" spans="1:19" x14ac:dyDescent="0.25">
      <c r="A30" s="29"/>
      <c r="B30" s="31" t="s">
        <v>440</v>
      </c>
      <c r="C30" s="32">
        <v>66.14</v>
      </c>
      <c r="D30" s="29"/>
      <c r="E30" s="29"/>
      <c r="F30" s="29"/>
      <c r="G30" s="29"/>
      <c r="H30" s="29"/>
      <c r="I30" s="29"/>
      <c r="J30" s="29"/>
      <c r="K30" s="29"/>
      <c r="L30" s="29"/>
      <c r="M30" s="29"/>
      <c r="N30" s="29"/>
      <c r="O30" s="29"/>
      <c r="P30" s="29"/>
      <c r="Q30" s="29"/>
      <c r="R30" s="29"/>
      <c r="S30" s="29"/>
    </row>
    <row r="31" spans="1:19" x14ac:dyDescent="0.25">
      <c r="A31" s="29"/>
      <c r="B31" s="34" t="s">
        <v>441</v>
      </c>
      <c r="C31" s="35">
        <v>28.97</v>
      </c>
      <c r="D31" s="29"/>
      <c r="E31" s="29"/>
      <c r="F31" s="29"/>
      <c r="G31" s="29"/>
      <c r="H31" s="29"/>
      <c r="I31" s="29"/>
      <c r="J31" s="29"/>
      <c r="K31" s="29"/>
      <c r="L31" s="29"/>
      <c r="M31" s="29"/>
      <c r="N31" s="29"/>
      <c r="O31" s="29"/>
      <c r="P31" s="29"/>
      <c r="Q31" s="29"/>
      <c r="R31" s="29"/>
      <c r="S31" s="29"/>
    </row>
    <row r="32" spans="1:19" x14ac:dyDescent="0.25">
      <c r="A32" s="29"/>
      <c r="B32" s="31" t="s">
        <v>442</v>
      </c>
      <c r="C32" s="32">
        <v>6166.86</v>
      </c>
      <c r="D32" s="29"/>
      <c r="E32" s="29"/>
      <c r="F32" s="29"/>
      <c r="G32" s="29"/>
      <c r="H32" s="29"/>
      <c r="I32" s="29"/>
      <c r="J32" s="29"/>
      <c r="K32" s="29"/>
      <c r="L32" s="29"/>
      <c r="M32" s="29"/>
      <c r="N32" s="29"/>
      <c r="O32" s="29"/>
      <c r="P32" s="29"/>
      <c r="Q32" s="29"/>
      <c r="R32" s="29"/>
      <c r="S32" s="29"/>
    </row>
    <row r="33" spans="1:19" x14ac:dyDescent="0.25">
      <c r="A33" s="29"/>
      <c r="B33" s="34" t="s">
        <v>443</v>
      </c>
      <c r="C33" s="35">
        <v>123.55</v>
      </c>
      <c r="D33" s="29"/>
      <c r="E33" s="29"/>
      <c r="F33" s="29"/>
      <c r="G33" s="29"/>
      <c r="H33" s="29"/>
      <c r="I33" s="29"/>
      <c r="J33" s="29"/>
      <c r="K33" s="29"/>
      <c r="L33" s="29"/>
      <c r="M33" s="29"/>
      <c r="N33" s="29"/>
      <c r="O33" s="29"/>
      <c r="P33" s="29"/>
      <c r="Q33" s="29"/>
      <c r="R33" s="29"/>
      <c r="S33" s="29"/>
    </row>
    <row r="34" spans="1:19" x14ac:dyDescent="0.25">
      <c r="A34" s="29"/>
      <c r="B34" s="31" t="s">
        <v>444</v>
      </c>
      <c r="C34" s="32">
        <v>130.02000000000001</v>
      </c>
      <c r="D34" s="29"/>
      <c r="E34" s="29"/>
      <c r="F34" s="29"/>
      <c r="G34" s="29"/>
      <c r="H34" s="29"/>
      <c r="I34" s="29"/>
      <c r="J34" s="29"/>
      <c r="K34" s="29"/>
      <c r="L34" s="29"/>
      <c r="M34" s="29"/>
      <c r="N34" s="29"/>
      <c r="O34" s="29"/>
      <c r="P34" s="29"/>
      <c r="Q34" s="29"/>
      <c r="R34" s="29"/>
      <c r="S34" s="29"/>
    </row>
    <row r="35" spans="1:19" x14ac:dyDescent="0.25">
      <c r="A35" s="29"/>
      <c r="B35" s="34" t="s">
        <v>445</v>
      </c>
      <c r="C35" s="35">
        <v>979.95</v>
      </c>
      <c r="D35" s="29"/>
      <c r="E35" s="29"/>
      <c r="F35" s="29"/>
      <c r="G35" s="29"/>
      <c r="H35" s="29"/>
      <c r="I35" s="29"/>
      <c r="J35" s="29"/>
      <c r="K35" s="29"/>
      <c r="L35" s="29"/>
      <c r="M35" s="29"/>
      <c r="N35" s="29"/>
      <c r="O35" s="29"/>
      <c r="P35" s="29"/>
      <c r="Q35" s="29"/>
      <c r="R35" s="29"/>
      <c r="S35" s="29"/>
    </row>
    <row r="36" spans="1:19" x14ac:dyDescent="0.25">
      <c r="A36" s="29"/>
      <c r="B36" s="31" t="s">
        <v>446</v>
      </c>
      <c r="C36" s="32">
        <v>1015.68</v>
      </c>
      <c r="D36" s="29"/>
      <c r="E36" s="29"/>
      <c r="F36" s="29"/>
      <c r="G36" s="29"/>
      <c r="H36" s="29"/>
      <c r="I36" s="29"/>
      <c r="J36" s="29"/>
      <c r="K36" s="29"/>
      <c r="L36" s="29"/>
      <c r="M36" s="29"/>
      <c r="N36" s="29"/>
      <c r="O36" s="29"/>
      <c r="P36" s="29"/>
      <c r="Q36" s="29"/>
      <c r="R36" s="29"/>
      <c r="S36" s="29"/>
    </row>
    <row r="37" spans="1:19" x14ac:dyDescent="0.25">
      <c r="A37" s="29"/>
      <c r="B37" s="34" t="s">
        <v>447</v>
      </c>
      <c r="C37" s="35">
        <v>1199.43</v>
      </c>
      <c r="D37" s="29"/>
      <c r="E37" s="29"/>
      <c r="F37" s="29"/>
      <c r="G37" s="29"/>
      <c r="H37" s="29"/>
      <c r="I37" s="29"/>
      <c r="J37" s="29"/>
      <c r="K37" s="29"/>
      <c r="L37" s="29"/>
      <c r="M37" s="29"/>
      <c r="N37" s="29"/>
      <c r="O37" s="29"/>
      <c r="P37" s="29"/>
      <c r="Q37" s="29"/>
      <c r="R37" s="29"/>
      <c r="S37" s="29"/>
    </row>
    <row r="38" spans="1:19" x14ac:dyDescent="0.25">
      <c r="A38" s="29"/>
      <c r="B38" s="31" t="s">
        <v>448</v>
      </c>
      <c r="C38" s="32">
        <v>9496.51</v>
      </c>
      <c r="D38" s="29"/>
      <c r="E38" s="29"/>
      <c r="F38" s="29"/>
      <c r="G38" s="29"/>
      <c r="H38" s="29"/>
      <c r="I38" s="29"/>
      <c r="J38" s="29"/>
      <c r="K38" s="29"/>
      <c r="L38" s="29"/>
      <c r="M38" s="29"/>
      <c r="N38" s="29"/>
      <c r="O38" s="29"/>
      <c r="P38" s="29"/>
      <c r="Q38" s="29"/>
      <c r="R38" s="29"/>
      <c r="S38" s="29"/>
    </row>
    <row r="39" spans="1:19" x14ac:dyDescent="0.25">
      <c r="A39" s="29"/>
      <c r="B39" s="34" t="s">
        <v>449</v>
      </c>
      <c r="C39" s="35">
        <v>38.94</v>
      </c>
      <c r="D39" s="29"/>
      <c r="E39" s="29"/>
      <c r="F39" s="29"/>
      <c r="G39" s="29"/>
      <c r="H39" s="29"/>
      <c r="I39" s="29"/>
      <c r="J39" s="29"/>
      <c r="K39" s="29"/>
      <c r="L39" s="29"/>
      <c r="M39" s="29"/>
      <c r="N39" s="29"/>
      <c r="O39" s="29"/>
      <c r="P39" s="29"/>
      <c r="Q39" s="29"/>
      <c r="R39" s="29"/>
      <c r="S39" s="29"/>
    </row>
    <row r="40" spans="1:19" x14ac:dyDescent="0.25">
      <c r="A40" s="29"/>
      <c r="B40" s="31" t="s">
        <v>450</v>
      </c>
      <c r="C40" s="32">
        <v>963.29</v>
      </c>
      <c r="D40" s="29"/>
      <c r="E40" s="29"/>
      <c r="F40" s="29"/>
      <c r="G40" s="29"/>
      <c r="H40" s="29"/>
      <c r="I40" s="29"/>
      <c r="J40" s="29"/>
      <c r="K40" s="29"/>
      <c r="L40" s="29"/>
      <c r="M40" s="29"/>
      <c r="N40" s="29"/>
      <c r="O40" s="29"/>
      <c r="P40" s="29"/>
      <c r="Q40" s="29"/>
      <c r="R40" s="29"/>
      <c r="S40" s="29"/>
    </row>
    <row r="41" spans="1:19" x14ac:dyDescent="0.25">
      <c r="A41" s="29"/>
      <c r="B41" s="34" t="s">
        <v>451</v>
      </c>
      <c r="C41" s="35">
        <v>835.8</v>
      </c>
      <c r="D41" s="29"/>
      <c r="E41" s="29"/>
      <c r="F41" s="29"/>
      <c r="G41" s="29"/>
      <c r="H41" s="29"/>
      <c r="I41" s="29"/>
      <c r="J41" s="29"/>
      <c r="K41" s="29"/>
      <c r="L41" s="29"/>
      <c r="M41" s="29"/>
      <c r="N41" s="29"/>
      <c r="O41" s="29"/>
      <c r="P41" s="29"/>
      <c r="Q41" s="29"/>
      <c r="R41" s="29"/>
      <c r="S41" s="29"/>
    </row>
    <row r="42" spans="1:19" x14ac:dyDescent="0.25">
      <c r="A42" s="29"/>
      <c r="B42" s="31" t="s">
        <v>452</v>
      </c>
      <c r="C42" s="32">
        <v>1103.98</v>
      </c>
      <c r="D42" s="29"/>
      <c r="E42" s="29"/>
      <c r="F42" s="29"/>
      <c r="G42" s="29"/>
      <c r="H42" s="29"/>
      <c r="I42" s="29"/>
      <c r="J42" s="29"/>
      <c r="K42" s="29"/>
      <c r="L42" s="29"/>
      <c r="M42" s="29"/>
      <c r="N42" s="29"/>
      <c r="O42" s="29"/>
      <c r="P42" s="29"/>
      <c r="Q42" s="29"/>
      <c r="R42" s="29"/>
      <c r="S42" s="29"/>
    </row>
    <row r="43" spans="1:19" x14ac:dyDescent="0.25">
      <c r="A43" s="29"/>
      <c r="B43" s="34" t="s">
        <v>453</v>
      </c>
      <c r="C43" s="35">
        <v>3168.28</v>
      </c>
      <c r="D43" s="29"/>
      <c r="E43" s="29"/>
      <c r="F43" s="29"/>
      <c r="G43" s="29"/>
      <c r="H43" s="29"/>
      <c r="I43" s="29"/>
      <c r="J43" s="29"/>
      <c r="K43" s="29"/>
      <c r="L43" s="29"/>
      <c r="M43" s="29"/>
      <c r="N43" s="29"/>
      <c r="O43" s="29"/>
      <c r="P43" s="29"/>
      <c r="Q43" s="29"/>
      <c r="R43" s="29"/>
      <c r="S43" s="29"/>
    </row>
    <row r="44" spans="1:19" x14ac:dyDescent="0.25">
      <c r="A44" s="29"/>
      <c r="B44" s="31" t="s">
        <v>454</v>
      </c>
      <c r="C44" s="32">
        <v>103.92</v>
      </c>
      <c r="D44" s="29"/>
      <c r="E44" s="29"/>
      <c r="F44" s="29"/>
      <c r="G44" s="29"/>
      <c r="H44" s="29"/>
      <c r="I44" s="29"/>
      <c r="J44" s="29"/>
      <c r="K44" s="29"/>
      <c r="L44" s="29"/>
      <c r="M44" s="29"/>
      <c r="N44" s="29"/>
      <c r="O44" s="29"/>
      <c r="P44" s="29"/>
      <c r="Q44" s="29"/>
      <c r="R44" s="29"/>
      <c r="S44" s="29"/>
    </row>
    <row r="45" spans="1:19" x14ac:dyDescent="0.25">
      <c r="A45" s="29"/>
      <c r="B45" s="34" t="s">
        <v>455</v>
      </c>
      <c r="C45" s="35">
        <v>3519.14</v>
      </c>
      <c r="D45" s="29"/>
      <c r="E45" s="29"/>
      <c r="F45" s="29"/>
      <c r="G45" s="29"/>
      <c r="H45" s="29"/>
      <c r="I45" s="29"/>
      <c r="J45" s="29"/>
      <c r="K45" s="29"/>
      <c r="L45" s="29"/>
      <c r="M45" s="29"/>
      <c r="N45" s="29"/>
      <c r="O45" s="29"/>
      <c r="P45" s="29"/>
      <c r="Q45" s="29"/>
      <c r="R45" s="29"/>
      <c r="S45" s="29"/>
    </row>
    <row r="46" spans="1:19" x14ac:dyDescent="0.25">
      <c r="A46" s="29"/>
      <c r="B46" s="29"/>
      <c r="C46" s="29"/>
      <c r="D46" s="29"/>
      <c r="E46" s="29"/>
      <c r="F46" s="29"/>
      <c r="G46" s="29"/>
      <c r="H46" s="29"/>
      <c r="I46" s="29"/>
      <c r="J46" s="29"/>
      <c r="K46" s="29"/>
      <c r="L46" s="29"/>
      <c r="M46" s="29"/>
      <c r="N46" s="29"/>
      <c r="O46" s="29"/>
      <c r="P46" s="29"/>
      <c r="Q46" s="29"/>
      <c r="R46" s="29"/>
      <c r="S46" s="29"/>
    </row>
    <row r="47" spans="1:19" x14ac:dyDescent="0.25">
      <c r="A47" s="29"/>
      <c r="B47" s="49" t="s">
        <v>456</v>
      </c>
      <c r="C47" s="49"/>
      <c r="D47" s="49"/>
      <c r="E47" s="49"/>
      <c r="F47" s="49"/>
      <c r="G47" s="49"/>
      <c r="H47" s="49"/>
      <c r="I47" s="49"/>
      <c r="J47" s="49"/>
      <c r="K47" s="49"/>
      <c r="L47" s="49"/>
      <c r="M47" s="49"/>
      <c r="N47" s="49"/>
      <c r="O47" s="29"/>
      <c r="P47" s="29"/>
      <c r="Q47" s="29"/>
      <c r="R47" s="29"/>
      <c r="S47" s="29"/>
    </row>
    <row r="48" spans="1:19" x14ac:dyDescent="0.25">
      <c r="A48" s="29"/>
      <c r="B48" s="50" t="s">
        <v>457</v>
      </c>
      <c r="C48" s="50"/>
      <c r="D48" s="50" t="s">
        <v>458</v>
      </c>
      <c r="E48" s="50"/>
      <c r="F48" s="50" t="s">
        <v>459</v>
      </c>
      <c r="G48" s="50"/>
      <c r="H48" s="50"/>
      <c r="I48" s="50"/>
      <c r="J48" s="50"/>
      <c r="K48" s="50"/>
      <c r="L48" s="50"/>
      <c r="M48" s="50"/>
      <c r="N48" s="50"/>
      <c r="O48" s="29"/>
      <c r="P48" s="29"/>
      <c r="Q48" s="29"/>
      <c r="R48" s="29"/>
      <c r="S48" s="29"/>
    </row>
    <row r="49" spans="1:19" x14ac:dyDescent="0.25">
      <c r="A49" s="29"/>
      <c r="B49" s="51" t="s">
        <v>460</v>
      </c>
      <c r="C49" s="51"/>
      <c r="D49" s="44" t="s">
        <v>93</v>
      </c>
      <c r="E49" s="44"/>
      <c r="F49" s="45" t="s">
        <v>461</v>
      </c>
      <c r="G49" s="45"/>
      <c r="H49" s="45"/>
      <c r="I49" s="45"/>
      <c r="J49" s="45"/>
      <c r="K49" s="45"/>
      <c r="L49" s="45"/>
      <c r="M49" s="45"/>
      <c r="N49" s="45"/>
      <c r="O49" s="29"/>
      <c r="P49" s="29"/>
      <c r="Q49" s="29"/>
      <c r="R49" s="29"/>
      <c r="S49" s="29"/>
    </row>
    <row r="50" spans="1:19" x14ac:dyDescent="0.25">
      <c r="A50" s="29"/>
      <c r="B50" s="46" t="s">
        <v>462</v>
      </c>
      <c r="C50" s="46"/>
      <c r="D50" s="41" t="s">
        <v>32</v>
      </c>
      <c r="E50" s="41"/>
      <c r="F50" s="42" t="s">
        <v>463</v>
      </c>
      <c r="G50" s="42"/>
      <c r="H50" s="42"/>
      <c r="I50" s="42"/>
      <c r="J50" s="42"/>
      <c r="K50" s="42"/>
      <c r="L50" s="42"/>
      <c r="M50" s="42"/>
      <c r="N50" s="42"/>
      <c r="O50" s="29"/>
      <c r="P50" s="29"/>
      <c r="Q50" s="29"/>
      <c r="R50" s="29"/>
      <c r="S50" s="29"/>
    </row>
    <row r="51" spans="1:19" x14ac:dyDescent="0.25">
      <c r="A51" s="29"/>
      <c r="B51" s="47" t="s">
        <v>464</v>
      </c>
      <c r="C51" s="47"/>
      <c r="D51" s="44" t="s">
        <v>11</v>
      </c>
      <c r="E51" s="44"/>
      <c r="F51" s="45" t="s">
        <v>465</v>
      </c>
      <c r="G51" s="45"/>
      <c r="H51" s="45"/>
      <c r="I51" s="45"/>
      <c r="J51" s="45"/>
      <c r="K51" s="45"/>
      <c r="L51" s="45"/>
      <c r="M51" s="45"/>
      <c r="N51" s="45"/>
      <c r="O51" s="29"/>
      <c r="P51" s="29"/>
      <c r="Q51" s="29"/>
      <c r="R51" s="29"/>
      <c r="S51" s="29"/>
    </row>
    <row r="52" spans="1:19" x14ac:dyDescent="0.25">
      <c r="A52" s="29"/>
      <c r="B52" s="40" t="s">
        <v>466</v>
      </c>
      <c r="C52" s="40"/>
      <c r="D52" s="41" t="s">
        <v>422</v>
      </c>
      <c r="E52" s="41"/>
      <c r="F52" s="42" t="s">
        <v>467</v>
      </c>
      <c r="G52" s="42"/>
      <c r="H52" s="42"/>
      <c r="I52" s="42"/>
      <c r="J52" s="42"/>
      <c r="K52" s="42"/>
      <c r="L52" s="42"/>
      <c r="M52" s="42"/>
      <c r="N52" s="42"/>
      <c r="O52" s="29"/>
      <c r="P52" s="29"/>
      <c r="Q52" s="29"/>
      <c r="R52" s="29"/>
      <c r="S52" s="29"/>
    </row>
    <row r="53" spans="1:19" x14ac:dyDescent="0.25">
      <c r="A53" s="29"/>
      <c r="B53" s="43" t="s">
        <v>468</v>
      </c>
      <c r="C53" s="43"/>
      <c r="D53" s="44" t="s">
        <v>469</v>
      </c>
      <c r="E53" s="44"/>
      <c r="F53" s="45" t="s">
        <v>470</v>
      </c>
      <c r="G53" s="45"/>
      <c r="H53" s="45"/>
      <c r="I53" s="45"/>
      <c r="J53" s="45"/>
      <c r="K53" s="45"/>
      <c r="L53" s="45"/>
      <c r="M53" s="45"/>
      <c r="N53" s="45"/>
      <c r="O53" s="29"/>
      <c r="P53" s="29"/>
      <c r="Q53" s="29"/>
      <c r="R53" s="29"/>
      <c r="S53" s="29"/>
    </row>
    <row r="54" spans="1:19" x14ac:dyDescent="0.25">
      <c r="A54" s="29"/>
      <c r="B54" s="29"/>
      <c r="C54" s="29"/>
      <c r="D54" s="29"/>
      <c r="E54" s="29"/>
      <c r="F54" s="29"/>
      <c r="G54" s="29"/>
      <c r="H54" s="29"/>
      <c r="I54" s="29"/>
      <c r="J54" s="29"/>
      <c r="K54" s="29"/>
      <c r="L54" s="29"/>
      <c r="M54" s="29"/>
      <c r="N54" s="29"/>
      <c r="O54" s="29"/>
      <c r="P54" s="29"/>
      <c r="Q54" s="29"/>
      <c r="R54" s="29"/>
      <c r="S54" s="29"/>
    </row>
    <row r="55" spans="1:19" x14ac:dyDescent="0.25">
      <c r="A55" s="29"/>
      <c r="B55" s="39" t="s">
        <v>471</v>
      </c>
      <c r="C55" s="39"/>
      <c r="D55" s="39"/>
      <c r="E55" s="39"/>
      <c r="F55" s="39"/>
      <c r="G55" s="39"/>
      <c r="H55" s="39"/>
      <c r="I55" s="39"/>
      <c r="J55" s="39"/>
      <c r="K55" s="39"/>
      <c r="L55" s="39"/>
      <c r="M55" s="39"/>
      <c r="N55" s="39"/>
      <c r="O55" s="29"/>
      <c r="P55" s="29"/>
      <c r="Q55" s="29"/>
      <c r="R55" s="29"/>
      <c r="S55" s="29"/>
    </row>
    <row r="56" spans="1:19" x14ac:dyDescent="0.25">
      <c r="A56" s="29"/>
      <c r="B56" s="29"/>
      <c r="C56" s="29"/>
      <c r="D56" s="29"/>
      <c r="E56" s="29"/>
      <c r="F56" s="29"/>
      <c r="G56" s="29"/>
      <c r="H56" s="29"/>
      <c r="I56" s="29"/>
      <c r="J56" s="29"/>
      <c r="K56" s="29"/>
      <c r="L56" s="29"/>
      <c r="M56" s="29"/>
      <c r="N56" s="29"/>
      <c r="O56" s="29"/>
      <c r="P56" s="29"/>
      <c r="Q56" s="29"/>
      <c r="R56" s="29"/>
      <c r="S56" s="29"/>
    </row>
    <row r="57" spans="1:19" x14ac:dyDescent="0.25">
      <c r="A57" s="29"/>
      <c r="B57" s="29"/>
      <c r="C57" s="29"/>
      <c r="D57" s="29"/>
      <c r="E57" s="29"/>
      <c r="F57" s="29"/>
      <c r="G57" s="29"/>
      <c r="H57" s="29"/>
      <c r="I57" s="29"/>
      <c r="J57" s="29"/>
      <c r="K57" s="29"/>
      <c r="L57" s="29"/>
      <c r="M57" s="29"/>
      <c r="N57" s="29"/>
      <c r="O57" s="29"/>
      <c r="P57" s="29"/>
      <c r="Q57" s="29"/>
      <c r="R57" s="29"/>
      <c r="S57" s="29"/>
    </row>
    <row r="58" spans="1:19" x14ac:dyDescent="0.25">
      <c r="A58" s="29"/>
      <c r="B58" s="29"/>
      <c r="C58" s="29"/>
      <c r="D58" s="29"/>
      <c r="E58" s="29"/>
      <c r="F58" s="29"/>
      <c r="G58" s="29"/>
      <c r="H58" s="29"/>
      <c r="I58" s="29"/>
      <c r="J58" s="29"/>
      <c r="K58" s="29"/>
      <c r="L58" s="29"/>
      <c r="M58" s="29"/>
      <c r="N58" s="29"/>
      <c r="O58" s="29"/>
      <c r="P58" s="29"/>
      <c r="Q58" s="29"/>
      <c r="R58" s="29"/>
      <c r="S58" s="29"/>
    </row>
    <row r="59" spans="1:19" x14ac:dyDescent="0.25">
      <c r="A59" s="29"/>
      <c r="B59" s="29"/>
      <c r="C59" s="29"/>
      <c r="D59" s="29"/>
      <c r="E59" s="29"/>
      <c r="F59" s="29"/>
      <c r="G59" s="29"/>
      <c r="H59" s="29"/>
      <c r="I59" s="29"/>
      <c r="J59" s="29"/>
      <c r="K59" s="29"/>
      <c r="L59" s="29"/>
      <c r="M59" s="29"/>
      <c r="N59" s="29"/>
      <c r="O59" s="29"/>
      <c r="P59" s="29"/>
      <c r="Q59" s="29"/>
      <c r="R59" s="29"/>
      <c r="S59" s="29"/>
    </row>
  </sheetData>
  <mergeCells count="28">
    <mergeCell ref="B49:C49"/>
    <mergeCell ref="D49:E49"/>
    <mergeCell ref="F49:N49"/>
    <mergeCell ref="B2:N2"/>
    <mergeCell ref="B4:N4"/>
    <mergeCell ref="B6:F6"/>
    <mergeCell ref="G6:J6"/>
    <mergeCell ref="K6:N6"/>
    <mergeCell ref="B8:E8"/>
    <mergeCell ref="H8:N8"/>
    <mergeCell ref="B26:N26"/>
    <mergeCell ref="B47:N47"/>
    <mergeCell ref="B48:C48"/>
    <mergeCell ref="D48:E48"/>
    <mergeCell ref="F48:N48"/>
    <mergeCell ref="B50:C50"/>
    <mergeCell ref="D50:E50"/>
    <mergeCell ref="F50:N50"/>
    <mergeCell ref="B51:C51"/>
    <mergeCell ref="D51:E51"/>
    <mergeCell ref="F51:N51"/>
    <mergeCell ref="B55:N55"/>
    <mergeCell ref="B52:C52"/>
    <mergeCell ref="D52:E52"/>
    <mergeCell ref="F52:N52"/>
    <mergeCell ref="B53:C53"/>
    <mergeCell ref="D53:E53"/>
    <mergeCell ref="F53:N53"/>
  </mergeCells>
  <phoneticPr fontId="17"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9A4-23A1-4B3B-BF47-075650487633}">
  <dimension ref="A1:G5"/>
  <sheetViews>
    <sheetView workbookViewId="0">
      <selection activeCell="G5" sqref="G5"/>
    </sheetView>
  </sheetViews>
  <sheetFormatPr defaultRowHeight="15" x14ac:dyDescent="0.25"/>
  <cols>
    <col min="1" max="1" width="38.140625" customWidth="1"/>
    <col min="2" max="2" width="19.5703125" bestFit="1" customWidth="1"/>
    <col min="3" max="3" width="15.28515625" style="1" bestFit="1" customWidth="1"/>
    <col min="4" max="4" width="17.5703125" customWidth="1"/>
    <col min="5" max="5" width="15" customWidth="1"/>
    <col min="6" max="6" width="10.7109375" customWidth="1"/>
    <col min="7" max="7" width="19.7109375" customWidth="1"/>
  </cols>
  <sheetData>
    <row r="1" spans="1:7" x14ac:dyDescent="0.25">
      <c r="A1" t="s">
        <v>0</v>
      </c>
      <c r="B1" t="s">
        <v>402</v>
      </c>
      <c r="C1" s="1" t="s">
        <v>403</v>
      </c>
      <c r="D1" t="s">
        <v>404</v>
      </c>
      <c r="E1" t="s">
        <v>405</v>
      </c>
    </row>
    <row r="2" spans="1:7" x14ac:dyDescent="0.25">
      <c r="A2" t="s">
        <v>20</v>
      </c>
      <c r="B2" t="str">
        <f>VLOOKUP(A2, 'Raw_Data'!$A$2:$O$50, 14, 0)</f>
        <v>Furniture</v>
      </c>
      <c r="C2" s="1" t="str">
        <f>VLOOKUP(A2, 'Raw_Data'!$A$2:$U$50, 17, 0)</f>
        <v>261.96</v>
      </c>
      <c r="D2" t="str">
        <f>IFERROR(VLOOKUP(A2,Raw_Data[],14,0),"Not Found")</f>
        <v>Furniture</v>
      </c>
      <c r="E2" t="str">
        <f>INDEX('Raw_Data'!$N$2:$N$50, MATCH(A2, 'Raw_Data'!$A$2:$A$50, 0))</f>
        <v>Furniture</v>
      </c>
      <c r="F2" t="str">
        <f>INDEX('Raw_Data'!$A$1:$T$50, MATCH("Order_ID", 'Raw_Data'!$A$1:$A$50, 0), MATCH("Sales", 'Raw_Data'!$1:$1, 0))</f>
        <v>Sales</v>
      </c>
      <c r="G2" t="str">
        <f>IFERROR(INDEX('Raw_Data'!$N$2:$N$50, MATCH(A2, 'Raw_Data'!$A$2:$A$50, 0)), "No encontrado")</f>
        <v>Furniture</v>
      </c>
    </row>
    <row r="3" spans="1:7" x14ac:dyDescent="0.25">
      <c r="A3" t="s">
        <v>58</v>
      </c>
      <c r="B3" t="str">
        <f>VLOOKUP(A3, 'Raw_Data'!$A$2:$O$50, 14, 0)</f>
        <v>Furniture</v>
      </c>
      <c r="C3" s="1" t="str">
        <f>VLOOKUP(A3, 'Raw_Data'!$A$2:$U$50, 17, 0)</f>
        <v>957.5775</v>
      </c>
      <c r="D3" t="str">
        <f>IFERROR(VLOOKUP(A3,Raw_Data[],14,0),"Not Found")</f>
        <v>Furniture</v>
      </c>
      <c r="E3" t="str">
        <f>INDEX('Raw_Data'!$N$2:$N$50, MATCH(A3, 'Raw_Data'!$A$2:$A$50, 0))</f>
        <v>Furniture</v>
      </c>
      <c r="F3" t="str">
        <f>INDEX('Raw_Data'!$A$1:$T$50, MATCH("Order_ID", 'Raw_Data'!$A$1:$A$50, 0), MATCH("Sales", 'Raw_Data'!$1:$1, 0))</f>
        <v>Sales</v>
      </c>
      <c r="G3" t="str">
        <f>IFERROR(INDEX('Raw_Data'!$N$2:$N$50, MATCH(A3, 'Raw_Data'!$A$2:$A$50, 0)), "No encontrado")</f>
        <v>Furniture</v>
      </c>
    </row>
    <row r="4" spans="1:7" x14ac:dyDescent="0.25">
      <c r="A4" t="s">
        <v>77</v>
      </c>
      <c r="B4" t="str">
        <f>VLOOKUP(A4, 'Raw_Data'!$A$2:$O$50, 14, 0)</f>
        <v>Furniture</v>
      </c>
      <c r="C4" s="1" t="str">
        <f>VLOOKUP(A4, 'Raw_Data'!$A$2:$U$50, 17, 0)</f>
        <v>48.86</v>
      </c>
      <c r="D4" t="str">
        <f>IFERROR(VLOOKUP(A4,Raw_Data[],14,0),"Not Found")</f>
        <v>Furniture</v>
      </c>
      <c r="E4" t="str">
        <f>INDEX('Raw_Data'!$N$2:$N$50, MATCH(A4, 'Raw_Data'!$A$2:$A$50, 0))</f>
        <v>Furniture</v>
      </c>
      <c r="F4" t="str">
        <f>INDEX('Raw_Data'!$A$1:$T$50, MATCH("Order_ID", 'Raw_Data'!$A$1:$A$50, 0), MATCH("Sales", 'Raw_Data'!$1:$1, 0))</f>
        <v>Sales</v>
      </c>
      <c r="G4" t="str">
        <f>IFERROR(INDEX('Raw_Data'!$N$2:$N$50, MATCH(A4, 'Raw_Data'!$A$2:$A$50, 0)), "No encontrado")</f>
        <v>Furniture</v>
      </c>
    </row>
    <row r="5" spans="1:7" x14ac:dyDescent="0.25">
      <c r="A5" t="s">
        <v>98</v>
      </c>
      <c r="B5" t="str">
        <f>VLOOKUP(A5, 'Raw_Data'!$A$2:$O$50, 14, 0)</f>
        <v>Office Supplies</v>
      </c>
      <c r="C5" s="1" t="str">
        <f>VLOOKUP(A5, 'Raw_Data'!$A$2:$U$50, 17, 0)</f>
        <v>15.552</v>
      </c>
      <c r="D5" t="str">
        <f>IFERROR(VLOOKUP(A5,Raw_Data[],14,0),"Not Found")</f>
        <v>Office Supplies</v>
      </c>
      <c r="E5" t="str">
        <f>INDEX('Raw_Data'!$N$2:$N$50, MATCH(A5, 'Raw_Data'!$A$2:$A$50, 0))</f>
        <v>Office Supplies</v>
      </c>
      <c r="F5" t="str">
        <f>INDEX('Raw_Data'!$A$1:$T$50, MATCH("Order_ID", 'Raw_Data'!$A$1:$A$50, 0), MATCH("Sales", 'Raw_Data'!$1:$1, 0))</f>
        <v>Sales</v>
      </c>
      <c r="G5" t="str">
        <f>IFERROR(INDEX('Raw_Data'!$N$2:$N$50, MATCH(A5, 'Raw_Data'!$A$2:$A$50, 0)), "No encontrado")</f>
        <v>Office Supplies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C6EB47-9807-4787-99E9-A46CF52B7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retail_sales_messy_dataset</vt:lpstr>
      <vt:lpstr>Raw_Data</vt:lpstr>
      <vt:lpstr>PT_Sales_by_Category</vt:lpstr>
      <vt:lpstr>PT_Sales_by_Region_Category</vt:lpstr>
      <vt:lpstr>PT_Profitability_Analysis</vt:lpstr>
      <vt:lpstr>Action_Plan</vt:lpstr>
      <vt:lpstr>Dashboards</vt:lpstr>
      <vt:lpstr>Practice_formulas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AGUILAR GALLARDO</dc:creator>
  <cp:lastModifiedBy>HUGO AGUILAR GALLARDO</cp:lastModifiedBy>
  <dcterms:created xsi:type="dcterms:W3CDTF">2026-02-09T14:52:28Z</dcterms:created>
  <dcterms:modified xsi:type="dcterms:W3CDTF">2026-03-21T04:22:15Z</dcterms:modified>
</cp:coreProperties>
</file>